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b83fc5b14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782fa3da017f4cbc"/>
    <x:sheet xmlns:r="http://schemas.openxmlformats.org/officeDocument/2006/relationships" name="Roadmap" sheetId="2" r:id="R89b9029b22f64818"/>
    <x:sheet xmlns:r="http://schemas.openxmlformats.org/officeDocument/2006/relationships" name="SDD Traceability" sheetId="3" r:id="Re67b282995e4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1"/>
      <x:color rgb="FFFFFFFF"/>
      <x:name val="Carlito"/>
    </x:font>
    <x:font>
      <x:b/>
      <x:sz val="16"/>
      <x:name val="Carlito"/>
    </x:font>
    <x:font>
      <x:b/>
      <x:sz val="11"/>
      <x:name val="Carlito"/>
    </x:font>
    <x:font>
      <x:b/>
      <x:sz val="1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EFF6FF"/>
      </x:patternFill>
    </x:fill>
    <x:fill>
      <x:patternFill patternType="solid">
        <x:fgColor rgb="FFF0FDFA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</x:fills>
  <x:borders count="13">
    <x:border/>
    <x:border>
      <x:left style="thin">
        <x:color rgb="FF93C5FD"/>
      </x:left>
      <x:top style="thin">
        <x:color rgb="FF93C5FD"/>
      </x:top>
    </x:border>
    <x:border>
      <x:right style="thin">
        <x:color rgb="FF93C5FD"/>
      </x:right>
      <x:top style="thin">
        <x:color rgb="FF93C5FD"/>
      </x:top>
    </x:border>
    <x:border>
      <x:left style="thin">
        <x:color rgb="FF93C5FD"/>
      </x:left>
    </x:border>
    <x:border>
      <x:right style="thin">
        <x:color rgb="FF93C5FD"/>
      </x:right>
    </x:border>
    <x:border>
      <x:left style="thin">
        <x:color rgb="FF93C5FD"/>
      </x:left>
      <x:bottom style="thin">
        <x:color rgb="FF93C5FD"/>
      </x:bottom>
    </x:border>
    <x:border>
      <x:right style="thin">
        <x:color rgb="FF93C5FD"/>
      </x:right>
      <x:bottom style="thin">
        <x:color rgb="FF93C5FD"/>
      </x:bottom>
    </x:border>
    <x:border>
      <x:left style="thin">
        <x:color rgb="FF5EEAD4"/>
      </x:left>
      <x:top style="thin">
        <x:color rgb="FF5EEAD4"/>
      </x:top>
    </x:border>
    <x:border>
      <x:right style="thin">
        <x:color rgb="FF5EEAD4"/>
      </x:right>
      <x:top style="thin">
        <x:color rgb="FF5EEAD4"/>
      </x:top>
    </x:border>
    <x:border>
      <x:left style="thin">
        <x:color rgb="FF5EEAD4"/>
      </x:left>
    </x:border>
    <x:border>
      <x:right style="thin">
        <x:color rgb="FF5EEAD4"/>
      </x:right>
    </x:border>
    <x:border>
      <x:left style="thin">
        <x:color rgb="FF5EEAD4"/>
      </x:left>
      <x:bottom style="thin">
        <x:color rgb="FF5EEAD4"/>
      </x:bottom>
    </x:border>
    <x:border>
      <x:right style="thin">
        <x:color rgb="FF5EEAD4"/>
      </x:right>
      <x:bottom style="thin">
        <x:color rgb="FF5EEAD4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201" fontId="6" fillId="0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5" fillId="6" borderId="3" xfId="0" applyNumberFormat="1" applyFont="1" applyFill="1" applyBorder="1"/>
    <x:xf numFmtId="0" fontId="6" fillId="0" borderId="4" xfId="0" applyNumberFormat="1" applyFont="1" applyFill="1" applyBorder="1" applyAlignment="1">
      <x:alignment horizontal="center"/>
    </x:xf>
    <x:xf numFmtId="0" fontId="5" fillId="6" borderId="5" xfId="0" applyNumberFormat="1" applyFont="1" applyFill="1" applyBorder="1"/>
    <x:xf numFmtId="201" fontId="6" fillId="0" borderId="6" xfId="0" applyNumberFormat="1" applyFont="1" applyFill="1" applyBorder="1" applyAlignment="1">
      <x:alignment horizontal="center"/>
    </x:xf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5" fillId="7" borderId="9" xfId="0" applyNumberFormat="1" applyFont="1" applyFill="1" applyBorder="1"/>
    <x:xf numFmtId="0" fontId="6" fillId="0" borderId="10" xfId="0" applyNumberFormat="1" applyFont="1" applyFill="1" applyBorder="1" applyAlignment="1">
      <x:alignment horizontal="center"/>
    </x:xf>
    <x:xf numFmtId="0" fontId="5" fillId="7" borderId="11" xfId="0" applyNumberFormat="1" applyFont="1" applyFill="1" applyBorder="1"/>
    <x:xf numFmtId="0" fontId="6" fillId="0" borderId="12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deb4b9a7e4405" /><Relationship Type="http://schemas.openxmlformats.org/officeDocument/2006/relationships/theme" Target="/xl/theme/theme1.xml" Id="Rf7c1ca35af5b46c1" /><Relationship Type="http://schemas.openxmlformats.org/officeDocument/2006/relationships/sharedStrings" Target="/xl/sharedStrings.xml" Id="R791d5256320546f2" /><Relationship Type="http://schemas.openxmlformats.org/officeDocument/2006/relationships/worksheet" Target="/xl/worksheets/sheet1.xml" Id="R782fa3da017f4cbc" /><Relationship Type="http://schemas.openxmlformats.org/officeDocument/2006/relationships/worksheet" Target="/xl/worksheets/sheet2.xml" Id="R89b9029b22f64818" /><Relationship Type="http://schemas.openxmlformats.org/officeDocument/2006/relationships/worksheet" Target="/xl/worksheets/sheet3.xml" Id="Re67b282995e440eb" /></Relationships>
</file>

<file path=xl/tables/table1.xml><?xml version="1.0" encoding="utf-8"?>
<x:table xmlns:x="http://schemas.openxmlformats.org/spreadsheetml/2006/main" id="1" name="WaveSpawnTasks" displayName="WaveSpawnTasks" ref="A4:K36" headerRowCount="1" totalsRowCount="0" totalsRowShown="0">
  <x:tableColumns count="11">
    <x:tableColumn id="1" name="Checkbox"/>
    <x:tableColumn id="2" name="ID"/>
    <x:tableColumn id="3" name="Giai đoạn"/>
    <x:tableColumn id="4" name="Hạng mục"/>
    <x:tableColumn id="5" name="Phạm vi công việc"/>
    <x:tableColumn id="6" name="Phụ trách"/>
    <x:tableColumn id="7" name="Ưu tiên"/>
    <x:tableColumn id="8" name="Ước tính (ngày)"/>
    <x:tableColumn id="9" name="Trạng thái"/>
    <x:tableColumn id="10" name="Tiêu chí hoàn thành"/>
    <x:tableColumn id="11" name="SDD 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DDTraceability" displayName="SDDTraceability" ref="A3:D10" headerRowCount="1" totalsRowCount="0" totalsRowShown="0">
  <x:tableColumns count="4">
    <x:tableColumn id="1" name="Nhóm"/>
    <x:tableColumn id="2" name="Rule/Edge Case"/>
    <x:tableColumn id="3" name="Yêu cầu tóm tắt"/>
    <x:tableColumn id="4" name="Roadmap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4379e5df6441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87fc39a0b14d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4" t="str">
        <x:v>WAVE SPAWN SYSTEM - PROGRESS DASHBOARD</x:v>
      </x:c>
      <x:c r="B1" s="4"/>
      <x:c r="C1" s="4"/>
      <x:c r="D1" s="4"/>
      <x:c r="E1" s="4"/>
      <x:c r="F1" s="4"/>
      <x:c r="G1" s="4"/>
      <x:c r="H1" s="4"/>
    </x:row>
    <x:row r="3">
      <x:c r="A3" s="26" t="str">
        <x:v>Chỉ số</x:v>
      </x:c>
      <x:c r="B3" s="27" t="str">
        <x:v>Giá trị</x:v>
      </x:c>
      <x:c r="D3" s="32" t="str">
        <x:v>Nỗ lực</x:v>
      </x:c>
      <x:c r="E3" s="33" t="str">
        <x:v>Giá trị</x:v>
      </x:c>
    </x:row>
    <x:row r="4">
      <x:c r="A4" s="28" t="str">
        <x:v>Tổng hạng mục</x:v>
      </x:c>
      <x:c r="B4" s="29" t="n">
        <x:f>COUNTA('Roadmap'!$B$5:$B$36)</x:f>
        <x:v>32</x:v>
      </x:c>
      <x:c r="D4" s="34" t="str">
        <x:v>Tổng ngày dự kiến</x:v>
      </x:c>
      <x:c r="E4" s="35" t="n">
        <x:f>SUM('Roadmap'!$H$5:$H$36)</x:f>
        <x:v>36.25</x:v>
      </x:c>
    </x:row>
    <x:row r="5">
      <x:c r="A5" s="28" t="str">
        <x:v>Đã hoàn thành</x:v>
      </x:c>
      <x:c r="B5" s="29" t="n">
        <x:f>COUNTIF('Roadmap'!$A$5:$A$36,"✅")</x:f>
        <x:v>32</x:v>
      </x:c>
      <x:c r="D5" s="34" t="str">
        <x:v>Ngày đã hoàn thành</x:v>
      </x:c>
      <x:c r="E5" s="35" t="n">
        <x:f>SUMIF('Roadmap'!$A$5:$A$36,"✅",'Roadmap'!$H$5:$H$36)</x:f>
        <x:v>36.25</x:v>
      </x:c>
    </x:row>
    <x:row r="6">
      <x:c r="A6" s="28" t="str">
        <x:v>Còn lại</x:v>
      </x:c>
      <x:c r="B6" s="29" t="n">
        <x:f>B4-B5</x:f>
        <x:v>0</x:v>
      </x:c>
      <x:c r="D6" s="34" t="str">
        <x:v>Ngày còn lại</x:v>
      </x:c>
      <x:c r="E6" s="35" t="n">
        <x:f>E4-E5</x:f>
        <x:v>0</x:v>
      </x:c>
    </x:row>
    <x:row r="7">
      <x:c r="A7" s="30" t="str">
        <x:v>Tiến độ</x:v>
      </x:c>
      <x:c r="B7" s="31" t="n">
        <x:f>IF(B4=0,0,B5/B4)</x:f>
        <x:v>1</x:v>
      </x:c>
      <x:c r="D7" s="36" t="str">
        <x:v>Critical còn lại</x:v>
      </x:c>
      <x:c r="E7" s="37" t="n">
        <x:f>COUNTIFS('Roadmap'!$A$5:$A$36,"⬜",'Roadmap'!$G$5:$G$36,"Critical")</x:f>
        <x:v>0</x:v>
      </x:c>
    </x:row>
    <x:row r="9">
      <x:c r="A9" s="39" t="str">
        <x:v>Cách sử dụng</x:v>
      </x:c>
      <x:c r="B9" s="39"/>
      <x:c r="C9" s="39"/>
      <x:c r="D9" s="39"/>
      <x:c r="E9" s="39"/>
      <x:c r="F9" s="39"/>
      <x:c r="G9" s="39"/>
      <x:c r="H9" s="39"/>
    </x:row>
    <x:row r="10" ht="24" customHeight="1">
      <x:c r="A10" s="41" t="str">
        <x:v>1. Mở sheet Roadmap.</x:v>
      </x:c>
      <x:c r="B10" s="41"/>
      <x:c r="C10" s="41"/>
      <x:c r="D10" s="41"/>
      <x:c r="E10" s="41"/>
      <x:c r="F10" s="41"/>
      <x:c r="G10" s="41"/>
      <x:c r="H10" s="41"/>
    </x:row>
    <x:row r="11" ht="24" customHeight="1">
      <x:c r="A11" s="41" t="str">
        <x:v>2. Đổi ⬜ thành ✅ khi hoàn thành một hạng mục.</x:v>
      </x:c>
      <x:c r="B11" s="41"/>
      <x:c r="C11" s="41"/>
      <x:c r="D11" s="41"/>
      <x:c r="E11" s="41"/>
      <x:c r="F11" s="41"/>
      <x:c r="G11" s="41"/>
      <x:c r="H11" s="41"/>
    </x:row>
    <x:row r="12" ht="24" customHeight="1">
      <x:c r="A12" s="41" t="str">
        <x:v>3. Cập nhật Trạng thái, Phụ trách và ghi chú nghiệm thu nếu cần.</x:v>
      </x:c>
      <x:c r="B12" s="41"/>
      <x:c r="C12" s="41"/>
      <x:c r="D12" s="41"/>
      <x:c r="E12" s="41"/>
      <x:c r="F12" s="41"/>
      <x:c r="G12" s="41"/>
      <x:c r="H12" s="41"/>
    </x:row>
    <x:row r="13" ht="24" customHeight="1">
      <x:c r="A13" s="41" t="str">
        <x:v>4. Không xóa ID; dashboard dùng ID và checkbox để tính tiến độ.</x:v>
      </x:c>
      <x:c r="B13" s="41"/>
      <x:c r="C13" s="41"/>
      <x:c r="D13" s="41"/>
      <x:c r="E13" s="41"/>
      <x:c r="F13" s="41"/>
      <x:c r="G13" s="41"/>
      <x:c r="H13" s="41"/>
    </x:row>
  </x:sheetData>
  <x:mergeCells>
    <x:mergeCell ref="A1:H1"/>
    <x:mergeCell ref="A9:H9"/>
    <x:mergeCell ref="A10:H10"/>
    <x:mergeCell ref="A11:H11"/>
    <x:mergeCell ref="A12:H1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4" hidden="0" customWidth="1"/>
    <x:col min="4" max="4" width="29" hidden="0" customWidth="1"/>
    <x:col min="5" max="5" width="48" hidden="0" customWidth="1"/>
    <x:col min="6" max="6" width="14" hidden="0" customWidth="1"/>
    <x:col min="7" max="7" width="12" hidden="0" customWidth="1"/>
    <x:col min="8" max="8" width="14" hidden="0" customWidth="1"/>
    <x:col min="9" max="9" width="16" hidden="0" customWidth="1"/>
    <x:col min="10" max="10" width="42" hidden="0" customWidth="1"/>
    <x:col min="11" max="11" width="20" hidden="0" customWidth="1"/>
  </x:cols>
  <x:sheetData>
    <x:row r="1" ht="32" customHeight="1">
      <x:c r="A1" s="4" t="str">
        <x:v>WAVE SPAWN SYSTEM - IMPLEMENTATION ROADMAP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4" customHeight="1">
      <x:c r="A2" s="7" t="str">
        <x:v>Đổi checkbox ở cột A giữa ⬜ và ✅. Dashboard và tiến độ tự cập nhật.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1" t="str">
        <x:v>Checkbox</x:v>
      </x:c>
      <x:c r="B4" s="11" t="str">
        <x:v>ID</x:v>
      </x:c>
      <x:c r="C4" s="11" t="str">
        <x:v>Giai đoạn</x:v>
      </x:c>
      <x:c r="D4" s="11" t="str">
        <x:v>Hạng mục</x:v>
      </x:c>
      <x:c r="E4" s="11" t="str">
        <x:v>Phạm vi công việc</x:v>
      </x:c>
      <x:c r="F4" s="11" t="str">
        <x:v>Phụ trách</x:v>
      </x:c>
      <x:c r="G4" s="11" t="str">
        <x:v>Ưu tiên</x:v>
      </x:c>
      <x:c r="H4" s="11" t="str">
        <x:v>Ước tính (ngày)</x:v>
      </x:c>
      <x:c r="I4" s="11" t="str">
        <x:v>Trạng thái</x:v>
      </x:c>
      <x:c r="J4" s="11" t="str">
        <x:v>Tiêu chí hoàn thành</x:v>
      </x:c>
      <x:c r="K4" s="11" t="str">
        <x:v>SDD Rule</x:v>
      </x:c>
    </x:row>
    <x:row r="5" ht="45" customHeight="1">
      <x:c r="A5" s="15" t="str">
        <x:v>✅</x:v>
      </x:c>
      <x:c r="B5" s="12" t="str">
        <x:v>LEG-01</x:v>
      </x:c>
      <x:c r="C5" s="12" t="str">
        <x:v>Phase 0 - Cleanup</x:v>
      </x:c>
      <x:c r="D5" s="12" t="str">
        <x:v>Xóa ECS MobSpawnSystem cũ</x:v>
      </x:c>
      <x:c r="E5" s="12" t="str">
        <x:v>Loại bỏ spawn theo elapsed time và spawn rate tăng dần</x:v>
      </x:c>
      <x:c r="F5" s="12" t="str">
        <x:v>Codex</x:v>
      </x:c>
      <x:c r="G5" s="12" t="str">
        <x:v>Critical</x:v>
      </x:c>
      <x:c r="H5" s="16" t="n">
        <x:v>0.5</x:v>
      </x:c>
      <x:c r="I5" s="12" t="str">
        <x:v>Hoàn thành</x:v>
      </x:c>
      <x:c r="J5" s="12" t="str">
        <x:v>MobSpawnSystem và meta đã bị xóa</x:v>
      </x:c>
      <x:c r="K5" s="12" t="str">
        <x:v>R_006</x:v>
      </x:c>
    </x:row>
    <x:row r="6" ht="45" customHeight="1">
      <x:c r="A6" s="15" t="str">
        <x:v>✅</x:v>
      </x:c>
      <x:c r="B6" s="12" t="str">
        <x:v>LEG-02</x:v>
      </x:c>
      <x:c r="C6" s="12" t="str">
        <x:v>Phase 0 - Cleanup</x:v>
      </x:c>
      <x:c r="D6" s="12" t="str">
        <x:v>Xóa MobSpawnSettingsAuthoring cũ</x:v>
      </x:c>
      <x:c r="E6" s="12" t="str">
        <x:v>Loại bỏ cấu hình wave giả lập, elite/boss probability và spawn radius cũ</x:v>
      </x:c>
      <x:c r="F6" s="12" t="str">
        <x:v>Codex</x:v>
      </x:c>
      <x:c r="G6" s="12" t="str">
        <x:v>Critical</x:v>
      </x:c>
      <x:c r="H6" s="16" t="n">
        <x:v>0.5</x:v>
      </x:c>
      <x:c r="I6" s="12" t="str">
        <x:v>Hoàn thành</x:v>
      </x:c>
      <x:c r="J6" s="12" t="str">
        <x:v>Không còn MobSpawnSettings trong project</x:v>
      </x:c>
      <x:c r="K6" s="12" t="str">
        <x:v>R_006</x:v>
      </x:c>
    </x:row>
    <x:row r="7" ht="45" customHeight="1">
      <x:c r="A7" s="15" t="str">
        <x:v>✅</x:v>
      </x:c>
      <x:c r="B7" s="12" t="str">
        <x:v>LEG-03</x:v>
      </x:c>
      <x:c r="C7" s="12" t="str">
        <x:v>Phase 0 - Cleanup</x:v>
      </x:c>
      <x:c r="D7" s="12" t="str">
        <x:v>Xóa MobEntitySpawner OOP cũ</x:v>
      </x:c>
      <x:c r="E7" s="12" t="str">
        <x:v>Loại bỏ nhánh spawn MonoBehaviour để chỉ còn một kiến trúc</x:v>
      </x:c>
      <x:c r="F7" s="12" t="str">
        <x:v>Codex</x:v>
      </x:c>
      <x:c r="G7" s="12" t="str">
        <x:v>Critical</x:v>
      </x:c>
      <x:c r="H7" s="16" t="n">
        <x:v>0.25</x:v>
      </x:c>
      <x:c r="I7" s="12" t="str">
        <x:v>Hoàn thành</x:v>
      </x:c>
      <x:c r="J7" s="12" t="str">
        <x:v>Không còn class hoặc reference MobEntitySpawner</x:v>
      </x:c>
      <x:c r="K7" s="12" t="str">
        <x:v>R_009</x:v>
      </x:c>
    </x:row>
    <x:row r="8" ht="45" customHeight="1">
      <x:c r="A8" s="15" t="str">
        <x:v>✅</x:v>
      </x:c>
      <x:c r="B8" s="12" t="str">
        <x:v>LEG-04</x:v>
      </x:c>
      <x:c r="C8" s="12" t="str">
        <x:v>Phase 0 - Cleanup</x:v>
      </x:c>
      <x:c r="D8" s="12" t="str">
        <x:v>Tách CombatMetrics khỏi spawn</x:v>
      </x:c>
      <x:c r="E8" s="12" t="str">
        <x:v>Giữ DPS, kill, pressure độc lập với hệ thống spawn</x:v>
      </x:c>
      <x:c r="F8" s="12" t="str">
        <x:v>Codex</x:v>
      </x:c>
      <x:c r="G8" s="12" t="str">
        <x:v>High</x:v>
      </x:c>
      <x:c r="H8" s="16" t="n">
        <x:v>0.5</x:v>
      </x:c>
      <x:c r="I8" s="12" t="str">
        <x:v>Hoàn thành</x:v>
      </x:c>
      <x:c r="J8" s="12" t="str">
        <x:v>CombatMetricsAuthoring bake singleton riêng</x:v>
      </x:c>
      <x:c r="K8" s="12" t="str">
        <x:v>EC_009</x:v>
      </x:c>
    </x:row>
    <x:row r="9" ht="45" customHeight="1">
      <x:c r="A9" s="15" t="str">
        <x:v>✅</x:v>
      </x:c>
      <x:c r="B9" s="12" t="str">
        <x:v>LEG-05</x:v>
      </x:c>
      <x:c r="C9" s="12" t="str">
        <x:v>Phase 0 - Cleanup</x:v>
      </x:c>
      <x:c r="D9" s="12" t="str">
        <x:v>Xóa runtime validator cũ</x:v>
      </x:c>
      <x:c r="E9" s="12" t="str">
        <x:v>Loại validator phụ thuộc mob spawn theo thời gian và kết quả test đã lỗi thời</x:v>
      </x:c>
      <x:c r="F9" s="12" t="str">
        <x:v>Codex</x:v>
      </x:c>
      <x:c r="G9" s="12" t="str">
        <x:v>High</x:v>
      </x:c>
      <x:c r="H9" s="16" t="n">
        <x:v>0.25</x:v>
      </x:c>
      <x:c r="I9" s="12" t="str">
        <x:v>Hoàn thành</x:v>
      </x:c>
      <x:c r="J9" s="12" t="str">
        <x:v>Không còn validator hoặc báo cáo spawn cũ</x:v>
      </x:c>
      <x:c r="K9" s="12" t="str">
        <x:v>QA</x:v>
      </x:c>
    </x:row>
    <x:row r="10" ht="45" customHeight="1">
      <x:c r="A10" s="15" t="str">
        <x:v>✅</x:v>
      </x:c>
      <x:c r="B10" s="12" t="str">
        <x:v>SPEC-01</x:v>
      </x:c>
      <x:c r="C10" s="12" t="str">
        <x:v>Phase 1 - Specification</x:v>
      </x:c>
      <x:c r="D10" s="12" t="str">
        <x:v>Chốt Activation Condition MVP</x:v>
      </x:c>
      <x:c r="E10" s="12" t="str">
        <x:v>Định nghĩa StageStarted và PreviousWaveCompleted</x:v>
      </x:c>
      <x:c r="F10" s="12" t="str">
        <x:v>Codex</x:v>
      </x:c>
      <x:c r="G10" s="12" t="str">
        <x:v>Critical</x:v>
      </x:c>
      <x:c r="H10" s="16" t="n">
        <x:v>0.5</x:v>
      </x:c>
      <x:c r="I10" s="12" t="str">
        <x:v>Hoàn thành</x:v>
      </x:c>
      <x:c r="J10" s="12" t="str">
        <x:v>Có enum và behavior rõ ràng</x:v>
      </x:c>
      <x:c r="K10" s="12" t="str">
        <x:v>R_001,R_005</x:v>
      </x:c>
    </x:row>
    <x:row r="11" ht="45" customHeight="1">
      <x:c r="A11" s="15" t="str">
        <x:v>✅</x:v>
      </x:c>
      <x:c r="B11" s="12" t="str">
        <x:v>SPEC-02</x:v>
      </x:c>
      <x:c r="C11" s="12" t="str">
        <x:v>Phase 1 - Specification</x:v>
      </x:c>
      <x:c r="D11" s="12" t="str">
        <x:v>Chốt semantics khi Spawn Entry lỗi</x:v>
      </x:c>
      <x:c r="E11" s="12" t="str">
        <x:v>Quy định failed entry có được tính hoàn tất hay chặn Stage</x:v>
      </x:c>
      <x:c r="F11" s="12" t="str">
        <x:v>Codex</x:v>
      </x:c>
      <x:c r="G11" s="12" t="str">
        <x:v>High</x:v>
      </x:c>
      <x:c r="H11" s="16" t="n">
        <x:v>0.25</x:v>
      </x:c>
      <x:c r="I11" s="12" t="str">
        <x:v>Hoàn thành</x:v>
      </x:c>
      <x:c r="J11" s="12" t="str">
        <x:v>Quy tắc được ghi trong code/test</x:v>
      </x:c>
      <x:c r="K11" s="12" t="str">
        <x:v>EC_004,EC_005</x:v>
      </x:c>
    </x:row>
    <x:row r="12" ht="45" customHeight="1">
      <x:c r="A12" s="15" t="str">
        <x:v>✅</x:v>
      </x:c>
      <x:c r="B12" s="12" t="str">
        <x:v>DATA-01</x:v>
      </x:c>
      <x:c r="C12" s="12" t="str">
        <x:v>Phase 2 - Data &amp; Authoring</x:v>
      </x:c>
      <x:c r="D12" s="12" t="str">
        <x:v>Tạo StageConfig</x:v>
      </x:c>
      <x:c r="E12" s="12" t="str">
        <x:v>Stage ID, wave list, default delay, max alive</x:v>
      </x:c>
      <x:c r="F12" s="12" t="str">
        <x:v>Codex</x:v>
      </x:c>
      <x:c r="G12" s="12" t="str">
        <x:v>Critical</x:v>
      </x:c>
      <x:c r="H12" s="16" t="n">
        <x:v>1</x:v>
      </x:c>
      <x:c r="I12" s="12" t="str">
        <x:v>Hoàn thành</x:v>
      </x:c>
      <x:c r="J12" s="12" t="str">
        <x:v>Tạo và validate được Stage asset</x:v>
      </x:c>
      <x:c r="K12" s="12" t="str">
        <x:v>R_011</x:v>
      </x:c>
    </x:row>
    <x:row r="13" ht="45" customHeight="1">
      <x:c r="A13" s="15" t="str">
        <x:v>✅</x:v>
      </x:c>
      <x:c r="B13" s="12" t="str">
        <x:v>DATA-02</x:v>
      </x:c>
      <x:c r="C13" s="12" t="str">
        <x:v>Phase 2 - Data &amp; Authoring</x:v>
      </x:c>
      <x:c r="D13" s="12" t="str">
        <x:v>Tạo WaveConfig</x:v>
      </x:c>
      <x:c r="E13" s="12" t="str">
        <x:v>Wave ID/type, activation, delay, threshold, override</x:v>
      </x:c>
      <x:c r="F13" s="12" t="str">
        <x:v>Codex</x:v>
      </x:c>
      <x:c r="G13" s="12" t="str">
        <x:v>Critical</x:v>
      </x:c>
      <x:c r="H13" s="16" t="n">
        <x:v>1</x:v>
      </x:c>
      <x:c r="I13" s="12" t="str">
        <x:v>Hoàn thành</x:v>
      </x:c>
      <x:c r="J13" s="12" t="str">
        <x:v>Wave asset chứa đủ dữ liệu SDD</x:v>
      </x:c>
      <x:c r="K13" s="12" t="str">
        <x:v>R_001,R_004</x:v>
      </x:c>
    </x:row>
    <x:row r="14" ht="45" customHeight="1">
      <x:c r="A14" s="15" t="str">
        <x:v>✅</x:v>
      </x:c>
      <x:c r="B14" s="12" t="str">
        <x:v>DATA-03</x:v>
      </x:c>
      <x:c r="C14" s="12" t="str">
        <x:v>Phase 2 - Data &amp; Authoring</x:v>
      </x:c>
      <x:c r="D14" s="12" t="str">
        <x:v>Tạo SpawnEntryConfig</x:v>
      </x:c>
      <x:c r="E14" s="12" t="str">
        <x:v>Enemy, quantity, delay, interval, arena group</x:v>
      </x:c>
      <x:c r="F14" s="12" t="str">
        <x:v>Codex</x:v>
      </x:c>
      <x:c r="G14" s="12" t="str">
        <x:v>Critical</x:v>
      </x:c>
      <x:c r="H14" s="16" t="n">
        <x:v>1</x:v>
      </x:c>
      <x:c r="I14" s="12" t="str">
        <x:v>Hoàn thành</x:v>
      </x:c>
      <x:c r="J14" s="12" t="str">
        <x:v>Entry hỗ trợ nhiều loại enemy</x:v>
      </x:c>
      <x:c r="K14" s="12" t="str">
        <x:v>R_014,R_015</x:v>
      </x:c>
    </x:row>
    <x:row r="15" ht="45" customHeight="1">
      <x:c r="A15" s="15" t="str">
        <x:v>✅</x:v>
      </x:c>
      <x:c r="B15" s="12" t="str">
        <x:v>DATA-04</x:v>
      </x:c>
      <x:c r="C15" s="12" t="str">
        <x:v>Phase 2 - Data &amp; Authoring</x:v>
      </x:c>
      <x:c r="D15" s="12" t="str">
        <x:v>Tạo Enemy Catalog</x:v>
      </x:c>
      <x:c r="E15" s="12" t="str">
        <x:v>Ánh xạ Enemy ID sang prefab ECS và profile stats</x:v>
      </x:c>
      <x:c r="F15" s="12" t="str">
        <x:v>Codex</x:v>
      </x:c>
      <x:c r="G15" s="12" t="str">
        <x:v>High</x:v>
      </x:c>
      <x:c r="H15" s="16" t="n">
        <x:v>1</x:v>
      </x:c>
      <x:c r="I15" s="12" t="str">
        <x:v>Hoàn thành</x:v>
      </x:c>
      <x:c r="J15" s="12" t="str">
        <x:v>Không phụ thuộc random 50/50 prefab</x:v>
      </x:c>
      <x:c r="K15" s="12" t="str">
        <x:v>EC_004</x:v>
      </x:c>
    </x:row>
    <x:row r="16" ht="45" customHeight="1">
      <x:c r="A16" s="15" t="str">
        <x:v>✅</x:v>
      </x:c>
      <x:c r="B16" s="12" t="str">
        <x:v>DATA-05</x:v>
      </x:c>
      <x:c r="C16" s="12" t="str">
        <x:v>Phase 2 - Data &amp; Authoring</x:v>
      </x:c>
      <x:c r="D16" s="12" t="str">
        <x:v>Tạo Baker và DynamicBuffer runtime</x:v>
      </x:c>
      <x:c r="E16" s="12" t="str">
        <x:v>Bake Stage/Wave/Entry sang ECS data</x:v>
      </x:c>
      <x:c r="F16" s="12" t="str">
        <x:v>Codex</x:v>
      </x:c>
      <x:c r="G16" s="12" t="str">
        <x:v>Critical</x:v>
      </x:c>
      <x:c r="H16" s="16" t="n">
        <x:v>1.5</x:v>
      </x:c>
      <x:c r="I16" s="12" t="str">
        <x:v>Hoàn thành</x:v>
      </x:c>
      <x:c r="J16" s="12" t="str">
        <x:v>Runtime không đọc ScriptableObject trực tiếp</x:v>
      </x:c>
      <x:c r="K16" s="12" t="str">
        <x:v>R_006</x:v>
      </x:c>
    </x:row>
    <x:row r="17" ht="45" customHeight="1">
      <x:c r="A17" s="15" t="str">
        <x:v>✅</x:v>
      </x:c>
      <x:c r="B17" s="12" t="str">
        <x:v>DATA-06</x:v>
      </x:c>
      <x:c r="C17" s="12" t="str">
        <x:v>Phase 2 - Data &amp; Authoring</x:v>
      </x:c>
      <x:c r="D17" s="12" t="str">
        <x:v>Editor validation</x:v>
      </x:c>
      <x:c r="E17" s="12" t="str">
        <x:v>Kiểm tra stage rỗng, ID trùng, quantity và reference lỗi</x:v>
      </x:c>
      <x:c r="F17" s="12" t="str">
        <x:v>Codex</x:v>
      </x:c>
      <x:c r="G17" s="12" t="str">
        <x:v>High</x:v>
      </x:c>
      <x:c r="H17" s="16" t="n">
        <x:v>1</x:v>
      </x:c>
      <x:c r="I17" s="12" t="str">
        <x:v>Hoàn thành</x:v>
      </x:c>
      <x:c r="J17" s="12" t="str">
        <x:v>Lỗi cấu hình được báo trước Play Mode</x:v>
      </x:c>
      <x:c r="K17" s="12" t="str">
        <x:v>EC_001-EC_005</x:v>
      </x:c>
    </x:row>
    <x:row r="18" ht="45" customHeight="1">
      <x:c r="A18" s="15" t="str">
        <x:v>✅</x:v>
      </x:c>
      <x:c r="B18" s="12" t="str">
        <x:v>RUN-01</x:v>
      </x:c>
      <x:c r="C18" s="12" t="str">
        <x:v>Phase 3 - Wave Runtime</x:v>
      </x:c>
      <x:c r="D18" s="12" t="str">
        <x:v>Stage state machine</x:v>
      </x:c>
      <x:c r="E18" s="12" t="str">
        <x:v>NotStarted, Running, Completed, Stopped</x:v>
      </x:c>
      <x:c r="F18" s="12" t="str">
        <x:v>Codex</x:v>
      </x:c>
      <x:c r="G18" s="12" t="str">
        <x:v>Critical</x:v>
      </x:c>
      <x:c r="H18" s="16" t="n">
        <x:v>1</x:v>
      </x:c>
      <x:c r="I18" s="12" t="str">
        <x:v>Hoàn thành</x:v>
      </x:c>
      <x:c r="J18" s="12" t="str">
        <x:v>Stage chuyển trạng thái đúng và chỉ complete một lần</x:v>
      </x:c>
      <x:c r="K18" s="12" t="str">
        <x:v>R_012,R_013</x:v>
      </x:c>
    </x:row>
    <x:row r="19" ht="45" customHeight="1">
      <x:c r="A19" s="15" t="str">
        <x:v>✅</x:v>
      </x:c>
      <x:c r="B19" s="12" t="str">
        <x:v>RUN-02</x:v>
      </x:c>
      <x:c r="C19" s="12" t="str">
        <x:v>Phase 3 - Wave Runtime</x:v>
      </x:c>
      <x:c r="D19" s="12" t="str">
        <x:v>Wave state machine</x:v>
      </x:c>
      <x:c r="E19" s="12" t="str">
        <x:v>Pending, Delay, Active, Completed</x:v>
      </x:c>
      <x:c r="F19" s="12" t="str">
        <x:v>Codex</x:v>
      </x:c>
      <x:c r="G19" s="12" t="str">
        <x:v>Critical</x:v>
      </x:c>
      <x:c r="H19" s="16" t="n">
        <x:v>1.5</x:v>
      </x:c>
      <x:c r="I19" s="12" t="str">
        <x:v>Hoàn thành</x:v>
      </x:c>
      <x:c r="J19" s="12" t="str">
        <x:v>Wave chạy đúng thứ tự</x:v>
      </x:c>
      <x:c r="K19" s="12" t="str">
        <x:v>R_002,R_005</x:v>
      </x:c>
    </x:row>
    <x:row r="20" ht="45" customHeight="1">
      <x:c r="A20" s="15" t="str">
        <x:v>✅</x:v>
      </x:c>
      <x:c r="B20" s="12" t="str">
        <x:v>RUN-03</x:v>
      </x:c>
      <x:c r="C20" s="12" t="str">
        <x:v>Phase 3 - Wave Runtime</x:v>
      </x:c>
      <x:c r="D20" s="12" t="str">
        <x:v>Spawn Entry scheduler</x:v>
      </x:c>
      <x:c r="E20" s="12" t="str">
        <x:v>Theo dõi delay/interval/quantity độc lập từng entry</x:v>
      </x:c>
      <x:c r="F20" s="12" t="str">
        <x:v>Codex</x:v>
      </x:c>
      <x:c r="G20" s="12" t="str">
        <x:v>Critical</x:v>
      </x:c>
      <x:c r="H20" s="16" t="n">
        <x:v>2</x:v>
      </x:c>
      <x:c r="I20" s="12" t="str">
        <x:v>Hoàn thành</x:v>
      </x:c>
      <x:c r="J20" s="12" t="str">
        <x:v>Nhiều entry hoạt động đồng thời</x:v>
      </x:c>
      <x:c r="K20" s="12" t="str">
        <x:v>R_014,R_015,R_018</x:v>
      </x:c>
    </x:row>
    <x:row r="21" ht="45" customHeight="1">
      <x:c r="A21" s="15" t="str">
        <x:v>✅</x:v>
      </x:c>
      <x:c r="B21" s="12" t="str">
        <x:v>RUN-04</x:v>
      </x:c>
      <x:c r="C21" s="12" t="str">
        <x:v>Phase 3 - Wave Runtime</x:v>
      </x:c>
      <x:c r="D21" s="12" t="str">
        <x:v>FIFO Spawn Request Queue</x:v>
      </x:c>
      <x:c r="E21" s="12" t="str">
        <x:v>Tạo sequence ổn định và xử lý request theo thứ tự</x:v>
      </x:c>
      <x:c r="F21" s="12" t="str">
        <x:v>Codex</x:v>
      </x:c>
      <x:c r="G21" s="12" t="str">
        <x:v>Critical</x:v>
      </x:c>
      <x:c r="H21" s="16" t="n">
        <x:v>1.5</x:v>
      </x:c>
      <x:c r="I21" s="12" t="str">
        <x:v>Hoàn thành</x:v>
      </x:c>
      <x:c r="J21" s="12" t="str">
        <x:v>Thứ tự không phụ thuộc entity iteration</x:v>
      </x:c>
      <x:c r="K21" s="12" t="str">
        <x:v>R_017</x:v>
      </x:c>
    </x:row>
    <x:row r="22" ht="45" customHeight="1">
      <x:c r="A22" s="15" t="str">
        <x:v>✅</x:v>
      </x:c>
      <x:c r="B22" s="12" t="str">
        <x:v>RUN-05</x:v>
      </x:c>
      <x:c r="C22" s="12" t="str">
        <x:v>Phase 3 - Wave Runtime</x:v>
      </x:c>
      <x:c r="D22" s="12" t="str">
        <x:v>Max Alive gate</x:v>
      </x:c>
      <x:c r="E22" s="12" t="str">
        <x:v>Áp dụng limit Stage và override Wave trước mỗi spawn</x:v>
      </x:c>
      <x:c r="F22" s="12" t="str">
        <x:v>Codex</x:v>
      </x:c>
      <x:c r="G22" s="12" t="str">
        <x:v>Critical</x:v>
      </x:c>
      <x:c r="H22" s="16" t="n">
        <x:v>1</x:v>
      </x:c>
      <x:c r="I22" s="12" t="str">
        <x:v>Hoàn thành</x:v>
      </x:c>
      <x:c r="J22" s="12" t="str">
        <x:v>Không frame nào vượt giới hạn</x:v>
      </x:c>
      <x:c r="K22" s="12" t="str">
        <x:v>R_008,R_010,R_016</x:v>
      </x:c>
    </x:row>
    <x:row r="23" ht="45" customHeight="1">
      <x:c r="A23" s="15" t="str">
        <x:v>✅</x:v>
      </x:c>
      <x:c r="B23" s="12" t="str">
        <x:v>RUN-06</x:v>
      </x:c>
      <x:c r="C23" s="12" t="str">
        <x:v>Phase 3 - Wave Runtime</x:v>
      </x:c>
      <x:c r="D23" s="12" t="str">
        <x:v>Wave completion evaluator</x:v>
      </x:c>
      <x:c r="E23" s="12" t="str">
        <x:v>Queue rỗng, entry đủ quantity, alive &lt;= threshold</x:v>
      </x:c>
      <x:c r="F23" s="12" t="str">
        <x:v>Codex</x:v>
      </x:c>
      <x:c r="G23" s="12" t="str">
        <x:v>Critical</x:v>
      </x:c>
      <x:c r="H23" s="16" t="n">
        <x:v>1</x:v>
      </x:c>
      <x:c r="I23" s="12" t="str">
        <x:v>Hoàn thành</x:v>
      </x:c>
      <x:c r="J23" s="12" t="str">
        <x:v>Wave không complete sớm hoặc bị kẹt</x:v>
      </x:c>
      <x:c r="K23" s="12" t="str">
        <x:v>R_003,R_004</x:v>
      </x:c>
    </x:row>
    <x:row r="24" ht="45" customHeight="1">
      <x:c r="A24" s="15" t="str">
        <x:v>✅</x:v>
      </x:c>
      <x:c r="B24" s="12" t="str">
        <x:v>POS-01</x:v>
      </x:c>
      <x:c r="C24" s="12" t="str">
        <x:v>Phase 4 - Spawn Position</x:v>
      </x:c>
      <x:c r="D24" s="12" t="str">
        <x:v>Tạo Spawn Arena Group</x:v>
      </x:c>
      <x:c r="E24" s="12" t="str">
        <x:v>Hỗ trợ nhóm vùng trên/dưới/trái/phải hoặc Box</x:v>
      </x:c>
      <x:c r="F24" s="12" t="str">
        <x:v>Codex</x:v>
      </x:c>
      <x:c r="G24" s="12" t="str">
        <x:v>Critical</x:v>
      </x:c>
      <x:c r="H24" s="16" t="n">
        <x:v>1.5</x:v>
      </x:c>
      <x:c r="I24" s="12" t="str">
        <x:v>Hoàn thành</x:v>
      </x:c>
      <x:c r="J24" s="12" t="str">
        <x:v>Entry chỉ spawn trong group cấu hình</x:v>
      </x:c>
      <x:c r="K24" s="12" t="str">
        <x:v>SP_001,SP_002</x:v>
      </x:c>
    </x:row>
    <x:row r="25" ht="45" customHeight="1">
      <x:c r="A25" s="15" t="str">
        <x:v>✅</x:v>
      </x:c>
      <x:c r="B25" s="12" t="str">
        <x:v>POS-02</x:v>
      </x:c>
      <x:c r="C25" s="12" t="str">
        <x:v>Phase 4 - Spawn Position</x:v>
      </x:c>
      <x:c r="D25" s="12" t="str">
        <x:v>Kiểm tra bounds và khoảng cách player</x:v>
      </x:c>
      <x:c r="E25" s="12" t="str">
        <x:v>Loại vùng cấm trung tâm và ngoài gameplay radius</x:v>
      </x:c>
      <x:c r="F25" s="12" t="str">
        <x:v>Codex</x:v>
      </x:c>
      <x:c r="G25" s="12" t="str">
        <x:v>High</x:v>
      </x:c>
      <x:c r="H25" s="16" t="n">
        <x:v>1</x:v>
      </x:c>
      <x:c r="I25" s="12" t="str">
        <x:v>Hoàn thành</x:v>
      </x:c>
      <x:c r="J25" s="12" t="str">
        <x:v>Mọi điểm đạt SP_003-SP_005</x:v>
      </x:c>
      <x:c r="K25" s="12" t="str">
        <x:v>SP_003-SP_005</x:v>
      </x:c>
    </x:row>
    <x:row r="26" ht="45" customHeight="1">
      <x:c r="A26" s="15" t="str">
        <x:v>✅</x:v>
      </x:c>
      <x:c r="B26" s="12" t="str">
        <x:v>POS-03</x:v>
      </x:c>
      <x:c r="C26" s="12" t="str">
        <x:v>Phase 4 - Spawn Position</x:v>
      </x:c>
      <x:c r="D26" s="12" t="str">
        <x:v>Kiểm tra camera dead-zone</x:v>
      </x:c>
      <x:c r="E26" s="12" t="str">
        <x:v>Không spawn trong viewport camera gameplay</x:v>
      </x:c>
      <x:c r="F26" s="12" t="str">
        <x:v>Codex</x:v>
      </x:c>
      <x:c r="G26" s="12" t="str">
        <x:v>High</x:v>
      </x:c>
      <x:c r="H26" s="16" t="n">
        <x:v>1</x:v>
      </x:c>
      <x:c r="I26" s="12" t="str">
        <x:v>Hoàn thành</x:v>
      </x:c>
      <x:c r="J26" s="12" t="str">
        <x:v>Không thấy enemy xuất hiện trực tiếp</x:v>
      </x:c>
      <x:c r="K26" s="12" t="str">
        <x:v>SP_009</x:v>
      </x:c>
    </x:row>
    <x:row r="27" ht="45" customHeight="1">
      <x:c r="A27" s="15" t="str">
        <x:v>✅</x:v>
      </x:c>
      <x:c r="B27" s="12" t="str">
        <x:v>POS-04</x:v>
      </x:c>
      <x:c r="C27" s="12" t="str">
        <x:v>Phase 4 - Spawn Position</x:v>
      </x:c>
      <x:c r="D27" s="12" t="str">
        <x:v>Kiểm tra physics overlap</x:v>
      </x:c>
      <x:c r="E27" s="12" t="str">
        <x:v>Tránh enemy và vật cản; retry có giới hạn</x:v>
      </x:c>
      <x:c r="F27" s="12" t="str">
        <x:v>Codex</x:v>
      </x:c>
      <x:c r="G27" s="12" t="str">
        <x:v>High</x:v>
      </x:c>
      <x:c r="H27" s="16" t="n">
        <x:v>2</x:v>
      </x:c>
      <x:c r="I27" s="12" t="str">
        <x:v>Hoàn thành</x:v>
      </x:c>
      <x:c r="J27" s="12" t="str">
        <x:v>Không chồng collider và không loop vô hạn</x:v>
      </x:c>
      <x:c r="K27" s="12" t="str">
        <x:v>SP_006-SP_008,EC_006</x:v>
      </x:c>
    </x:row>
    <x:row r="28" ht="45" customHeight="1">
      <x:c r="A28" s="15" t="str">
        <x:v>✅</x:v>
      </x:c>
      <x:c r="B28" s="12" t="str">
        <x:v>LIFE-01</x:v>
      </x:c>
      <x:c r="C28" s="12" t="str">
        <x:v>Phase 5 - Lifecycle</x:v>
      </x:c>
      <x:c r="D28" s="12" t="str">
        <x:v>AliveEnemy tracking tin cậy</x:v>
      </x:c>
      <x:c r="E28" s="12" t="str">
        <x:v>Cập nhật khi die và khi entity bị destroy ngoài luồng</x:v>
      </x:c>
      <x:c r="F28" s="12" t="str">
        <x:v>Codex</x:v>
      </x:c>
      <x:c r="G28" s="12" t="str">
        <x:v>Critical</x:v>
      </x:c>
      <x:c r="H28" s="16" t="n">
        <x:v>1</x:v>
      </x:c>
      <x:c r="I28" s="12" t="str">
        <x:v>Hoàn thành</x:v>
      </x:c>
      <x:c r="J28" s="12" t="str">
        <x:v>Counter khớp entity query</x:v>
      </x:c>
      <x:c r="K28" s="12" t="str">
        <x:v>EC_009</x:v>
      </x:c>
    </x:row>
    <x:row r="29" ht="45" customHeight="1">
      <x:c r="A29" s="15" t="str">
        <x:v>✅</x:v>
      </x:c>
      <x:c r="B29" s="12" t="str">
        <x:v>LIFE-02</x:v>
      </x:c>
      <x:c r="C29" s="12" t="str">
        <x:v>Phase 5 - Lifecycle</x:v>
      </x:c>
      <x:c r="D29" s="12" t="str">
        <x:v>Player death và restart cleanup</x:v>
      </x:c>
      <x:c r="E29" s="12" t="str">
        <x:v>Dừng queue, ngăn wave mới, hủy enemy và reset stage</x:v>
      </x:c>
      <x:c r="F29" s="12" t="str">
        <x:v>Codex</x:v>
      </x:c>
      <x:c r="G29" s="12" t="str">
        <x:v>Critical</x:v>
      </x:c>
      <x:c r="H29" s="16" t="n">
        <x:v>1.5</x:v>
      </x:c>
      <x:c r="I29" s="12" t="str">
        <x:v>Hoàn thành</x:v>
      </x:c>
      <x:c r="J29" s="12" t="str">
        <x:v>Restart không giữ state cũ</x:v>
      </x:c>
      <x:c r="K29" s="12" t="str">
        <x:v>EC_010,EC_011</x:v>
      </x:c>
    </x:row>
    <x:row r="30" ht="45" customHeight="1">
      <x:c r="A30" s="15" t="str">
        <x:v>✅</x:v>
      </x:c>
      <x:c r="B30" s="12" t="str">
        <x:v>LIFE-03</x:v>
      </x:c>
      <x:c r="C30" s="12" t="str">
        <x:v>Phase 5 - Lifecycle</x:v>
      </x:c>
      <x:c r="D30" s="12" t="str">
        <x:v>Stage Complete event</x:v>
      </x:c>
      <x:c r="E30" s="12" t="str">
        <x:v>Chỉ phát khi mọi wave xong, queue rỗng và alive=0</x:v>
      </x:c>
      <x:c r="F30" s="12" t="str">
        <x:v>Codex</x:v>
      </x:c>
      <x:c r="G30" s="12" t="str">
        <x:v>Critical</x:v>
      </x:c>
      <x:c r="H30" s="16" t="n">
        <x:v>1</x:v>
      </x:c>
      <x:c r="I30" s="12" t="str">
        <x:v>Hoàn thành</x:v>
      </x:c>
      <x:c r="J30" s="12" t="str">
        <x:v>Không complete sai trạng thái</x:v>
      </x:c>
      <x:c r="K30" s="12" t="str">
        <x:v>EC_012</x:v>
      </x:c>
    </x:row>
    <x:row r="31" ht="45" customHeight="1">
      <x:c r="A31" s="15" t="str">
        <x:v>✅</x:v>
      </x:c>
      <x:c r="B31" s="12" t="str">
        <x:v>INT-01</x:v>
      </x:c>
      <x:c r="C31" s="12" t="str">
        <x:v>Phase 6 - Integration</x:v>
      </x:c>
      <x:c r="D31" s="12" t="str">
        <x:v>Tích hợp Elite/Boss và scaling</x:v>
      </x:c>
      <x:c r="E31" s="12" t="str">
        <x:v>Chuyển logic stats cũ thành cấu hình Wave/Enemy</x:v>
      </x:c>
      <x:c r="F31" s="12" t="str">
        <x:v>Codex</x:v>
      </x:c>
      <x:c r="G31" s="12" t="str">
        <x:v>High</x:v>
      </x:c>
      <x:c r="H31" s="16" t="n">
        <x:v>1.5</x:v>
      </x:c>
      <x:c r="I31" s="12" t="str">
        <x:v>Hoàn thành</x:v>
      </x:c>
      <x:c r="J31" s="12" t="str">
        <x:v>Boss/elite không phụ thuộc xác suất cũ</x:v>
      </x:c>
      <x:c r="K31" s="12" t="str">
        <x:v>R_006</x:v>
      </x:c>
    </x:row>
    <x:row r="32" ht="45" customHeight="1">
      <x:c r="A32" s="15" t="str">
        <x:v>✅</x:v>
      </x:c>
      <x:c r="B32" s="12" t="str">
        <x:v>INT-02</x:v>
      </x:c>
      <x:c r="C32" s="12" t="str">
        <x:v>Phase 6 - Integration</x:v>
      </x:c>
      <x:c r="D32" s="12" t="str">
        <x:v>Tích hợp HUD Wave</x:v>
      </x:c>
      <x:c r="E32" s="12" t="str">
        <x:v>Hiển thị wave, alive, queue và delay</x:v>
      </x:c>
      <x:c r="F32" s="12" t="str">
        <x:v>Codex</x:v>
      </x:c>
      <x:c r="G32" s="12" t="str">
        <x:v>Medium</x:v>
      </x:c>
      <x:c r="H32" s="16" t="n">
        <x:v>1</x:v>
      </x:c>
      <x:c r="I32" s="12" t="str">
        <x:v>Hoàn thành</x:v>
      </x:c>
      <x:c r="J32" s="12" t="str">
        <x:v>UI phản ánh runtime state</x:v>
      </x:c>
      <x:c r="K32" s="12" t="str">
        <x:v>UX</x:v>
      </x:c>
    </x:row>
    <x:row r="33" ht="45" customHeight="1">
      <x:c r="A33" s="15" t="str">
        <x:v>✅</x:v>
      </x:c>
      <x:c r="B33" s="12" t="str">
        <x:v>TEST-01</x:v>
      </x:c>
      <x:c r="C33" s="12" t="str">
        <x:v>Phase 7 - QA</x:v>
      </x:c>
      <x:c r="D33" s="12" t="str">
        <x:v>Unit test config và state transition</x:v>
      </x:c>
      <x:c r="E33" s="12" t="str">
        <x:v>Bao phủ validation và các state machine</x:v>
      </x:c>
      <x:c r="F33" s="12" t="str">
        <x:v>Codex</x:v>
      </x:c>
      <x:c r="G33" s="12" t="str">
        <x:v>High</x:v>
      </x:c>
      <x:c r="H33" s="16" t="n">
        <x:v>2</x:v>
      </x:c>
      <x:c r="I33" s="12" t="str">
        <x:v>Hoàn thành</x:v>
      </x:c>
      <x:c r="J33" s="12" t="str">
        <x:v>3/3 EditMode tests pass, 0 fail</x:v>
      </x:c>
      <x:c r="K33" s="12" t="str">
        <x:v>EC_001-EC_005</x:v>
      </x:c>
    </x:row>
    <x:row r="34" ht="45" customHeight="1">
      <x:c r="A34" s="15" t="str">
        <x:v>✅</x:v>
      </x:c>
      <x:c r="B34" s="12" t="str">
        <x:v>TEST-02</x:v>
      </x:c>
      <x:c r="C34" s="12" t="str">
        <x:v>Phase 7 - QA</x:v>
      </x:c>
      <x:c r="D34" s="12" t="str">
        <x:v>Integration test queue và Max Alive</x:v>
      </x:c>
      <x:c r="E34" s="12" t="str">
        <x:v>Test nhiều entry, interval=0, pause/resume queue</x:v>
      </x:c>
      <x:c r="F34" s="12" t="str">
        <x:v>Codex</x:v>
      </x:c>
      <x:c r="G34" s="12" t="str">
        <x:v>Critical</x:v>
      </x:c>
      <x:c r="H34" s="16" t="n">
        <x:v>2</x:v>
      </x:c>
      <x:c r="I34" s="12" t="str">
        <x:v>Hoàn thành</x:v>
      </x:c>
      <x:c r="J34" s="12" t="str">
        <x:v>FIFO/pause-resume pass; runtime Max Alive pass (peak 13)</x:v>
      </x:c>
      <x:c r="K34" s="12" t="str">
        <x:v>EC_007,EC_008</x:v>
      </x:c>
    </x:row>
    <x:row r="35" ht="45" customHeight="1">
      <x:c r="A35" s="15" t="str">
        <x:v>✅</x:v>
      </x:c>
      <x:c r="B35" s="12" t="str">
        <x:v>TEST-03</x:v>
      </x:c>
      <x:c r="C35" s="12" t="str">
        <x:v>Phase 7 - QA</x:v>
      </x:c>
      <x:c r="D35" s="12" t="str">
        <x:v>Runtime edge-case validation</x:v>
      </x:c>
      <x:c r="E35" s="12" t="str">
        <x:v>Bao phủ EC_001 đến EC_012</x:v>
      </x:c>
      <x:c r="F35" s="12" t="str">
        <x:v>Codex</x:v>
      </x:c>
      <x:c r="G35" s="12" t="str">
        <x:v>Critical</x:v>
      </x:c>
      <x:c r="H35" s="16" t="n">
        <x:v>2</x:v>
      </x:c>
      <x:c r="I35" s="12" t="str">
        <x:v>Hoàn thành</x:v>
      </x:c>
      <x:c r="J35" s="12" t="str">
        <x:v>11/11 automated tests và Play Mode validation pass</x:v>
      </x:c>
      <x:c r="K35" s="12" t="str">
        <x:v>EC_001-EC_012</x:v>
      </x:c>
    </x:row>
    <x:row r="36" ht="45" customHeight="1">
      <x:c r="A36" s="15" t="str">
        <x:v>✅</x:v>
      </x:c>
      <x:c r="B36" s="12" t="str">
        <x:v>TEST-04</x:v>
      </x:c>
      <x:c r="C36" s="12" t="str">
        <x:v>Phase 7 - QA</x:v>
      </x:c>
      <x:c r="D36" s="12" t="str">
        <x:v>Stress test và profiling</x:v>
      </x:c>
      <x:c r="E36" s="12" t="str">
        <x:v>Đo frame time, queue depth, retry và entity count</x:v>
      </x:c>
      <x:c r="F36" s="12" t="str">
        <x:v>Codex</x:v>
      </x:c>
      <x:c r="G36" s="12" t="str">
        <x:v>High</x:v>
      </x:c>
      <x:c r="H36" s="16" t="n">
        <x:v>1.5</x:v>
      </x:c>
      <x:c r="I36" s="12" t="str">
        <x:v>Hoàn thành</x:v>
      </x:c>
      <x:c r="J36" s="12" t="str">
        <x:v>10.000 FIFO requests dưới budget 2 giây</x:v>
      </x:c>
      <x:c r="K36" s="12" t="str">
        <x:v>Performance</x:v>
      </x:c>
    </x:row>
  </x:sheetData>
  <x:mergeCells>
    <x:mergeCell ref="A1:K1"/>
    <x:mergeCell ref="A2:K2"/>
  </x:mergeCells>
  <x:conditionalFormatting sqref="A5:K36">
    <x:cfRule type="expression" dxfId="0" priority="1">
      <x:formula>$A5="✅"</x:formula>
    </x:cfRule>
  </x:conditionalFormatting>
  <x:conditionalFormatting sqref="G5:G36">
    <x:cfRule type="containsText" dxfId="1" priority="2" operator="containsText" text="Critical"/>
  </x:conditionalFormatting>
  <x:dataValidations count="4">
    <x:dataValidation type="list" sqref="A5:A36">
      <x:formula1>"⬜,✅"</x:formula1>
    </x:dataValidation>
    <x:dataValidation type="list" sqref="F5:F36">
      <x:formula1>"Unassigned,Codex,User"</x:formula1>
    </x:dataValidation>
    <x:dataValidation type="list" sqref="G5:G36">
      <x:formula1>"Critical,High,Medium,Low"</x:formula1>
    </x:dataValidation>
    <x:dataValidation type="list" sqref="I5:I36">
      <x:formula1>"Chưa bắt đầu,Đang thực hiện,Bị chặn,Hoàn thành"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4379e5df6441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58" hidden="0" customWidth="1"/>
    <x:col min="4" max="4" width="36" hidden="0" customWidth="1"/>
  </x:cols>
  <x:sheetData>
    <x:row r="1">
      <x:c r="A1" s="4" t="str">
        <x:v>SDD TRACEABILITY MATRIX</x:v>
      </x:c>
      <x:c r="B1" s="4"/>
      <x:c r="C1" s="4"/>
      <x:c r="D1" s="4"/>
    </x:row>
    <x:row r="3">
      <x:c r="A3" s="10" t="str">
        <x:v>Nhóm</x:v>
      </x:c>
      <x:c r="B3" s="10" t="str">
        <x:v>Rule/Edge Case</x:v>
      </x:c>
      <x:c r="C3" s="10" t="str">
        <x:v>Yêu cầu tóm tắt</x:v>
      </x:c>
      <x:c r="D3" s="10" t="str">
        <x:v>Roadmap ID</x:v>
      </x:c>
    </x:row>
    <x:row r="4" ht="40" customHeight="1">
      <x:c r="A4" s="12" t="str">
        <x:v>Wave</x:v>
      </x:c>
      <x:c r="B4" s="12" t="str">
        <x:v>R_001-R_005</x:v>
      </x:c>
      <x:c r="C4" s="12" t="str">
        <x:v>Activation, chỉ chạy một lần, completion và thứ tự wave</x:v>
      </x:c>
      <x:c r="D4" s="12" t="str">
        <x:v>SPEC-01, RUN-02, RUN-06</x:v>
      </x:c>
    </x:row>
    <x:row r="5" ht="40" customHeight="1">
      <x:c r="A5" s="12" t="str">
        <x:v>Spawn</x:v>
      </x:c>
      <x:c r="B5" s="12" t="str">
        <x:v>R_006-R_010</x:v>
      </x:c>
      <x:c r="C5" s="12" t="str">
        <x:v>Đúng config, điểm hợp lệ, Max Alive kiểm tra mỗi lần</x:v>
      </x:c>
      <x:c r="D5" s="12" t="str">
        <x:v>DATA-01 đến DATA-06, RUN-05</x:v>
      </x:c>
    </x:row>
    <x:row r="6" ht="40" customHeight="1">
      <x:c r="A6" s="12" t="str">
        <x:v>Stage</x:v>
      </x:c>
      <x:c r="B6" s="12" t="str">
        <x:v>R_011-R_013</x:v>
      </x:c>
      <x:c r="C6" s="12" t="str">
        <x:v>Có ít nhất một wave, complete đúng và không kích hoạt lại</x:v>
      </x:c>
      <x:c r="D6" s="12" t="str">
        <x:v>RUN-01, LIFE-03</x:v>
      </x:c>
    </x:row>
    <x:row r="7" ht="40" customHeight="1">
      <x:c r="A7" s="12" t="str">
        <x:v>Spawn Entry</x:v>
      </x:c>
      <x:c r="B7" s="12" t="str">
        <x:v>R_014-R_018</x:v>
      </x:c>
      <x:c r="C7" s="12" t="str">
        <x:v>Entry độc lập, đồng thời, pause/resume và queue rỗng đúng</x:v>
      </x:c>
      <x:c r="D7" s="12" t="str">
        <x:v>RUN-03, RUN-04, RUN-05</x:v>
      </x:c>
    </x:row>
    <x:row r="8" ht="40" customHeight="1">
      <x:c r="A8" s="12" t="str">
        <x:v>Spawn Point</x:v>
      </x:c>
      <x:c r="B8" s="12" t="str">
        <x:v>SP_001-SP_009</x:v>
      </x:c>
      <x:c r="C8" s="12" t="str">
        <x:v>Arena, bounds, player distance, overlap, retry, dead cam</x:v>
      </x:c>
      <x:c r="D8" s="12" t="str">
        <x:v>POS-01 đến POS-04</x:v>
      </x:c>
    </x:row>
    <x:row r="9" ht="40" customHeight="1">
      <x:c r="A9" s="12" t="str">
        <x:v>Edge Case</x:v>
      </x:c>
      <x:c r="B9" s="12" t="str">
        <x:v>EC_001-EC_006</x:v>
      </x:c>
      <x:c r="C9" s="12" t="str">
        <x:v>Validation dữ liệu và xử lý điểm spawn thất bại</x:v>
      </x:c>
      <x:c r="D9" s="12" t="str">
        <x:v>DATA-06, POS-04</x:v>
      </x:c>
    </x:row>
    <x:row r="10" ht="40" customHeight="1">
      <x:c r="A10" s="12" t="str">
        <x:v>Edge Case</x:v>
      </x:c>
      <x:c r="B10" s="12" t="str">
        <x:v>EC_007-EC_012</x:v>
      </x:c>
      <x:c r="C10" s="12" t="str">
        <x:v>Queue, alive tracking, death, restart và Stage Complete</x:v>
      </x:c>
      <x:c r="D10" s="12" t="str">
        <x:v>RUN-05, LIFE-01 đến LIFE-03, TEST-03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787fc39a0b14db8"/>
  </x:tableParts>
</x:worksheet>
</file>