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49d4f91ed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bat Roadmap" sheetId="1" r:id="Rd489466755c645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1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E3A8A"/>
      <x:name val="Carlito"/>
    </x:font>
    <x:font>
      <x:b/>
      <x:sz val="11"/>
      <x:color rgb="FFFFFFFF"/>
      <x:name val="Carlito"/>
    </x:font>
    <x:font>
      <x:b/>
      <x:sz val="12"/>
      <x:color rgb="FF0F172A"/>
      <x:name val="Carlito"/>
    </x:font>
    <x:font>
      <x:b/>
      <x:sz val="15"/>
      <x:name val="Carlito"/>
    </x:font>
    <x:font>
      <x:b/>
      <x:sz val="11"/>
      <x:color rgb="FF134E4A"/>
      <x:name val="Carlito"/>
    </x:font>
    <x:font>
      <x:b/>
      <x:sz val="15"/>
      <x:color rgb="FF047857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1"/>
      <x:color rgb="FF1E3A8A"/>
      <x:name val="Aptos"/>
    </x:font>
    <x:font>
      <x:b/>
      <x:sz val="11"/>
      <x:color rgb="FFFFFFFF"/>
      <x:name val="Aptos"/>
    </x:font>
    <x:font>
      <x:b/>
      <x:sz val="11"/>
      <x:color rgb="FF134E4A"/>
      <x:name val="Aptos"/>
    </x:font>
    <x:font>
      <x:b/>
      <x:sz val="12"/>
      <x:color rgb="FF0F172A"/>
      <x:name val="Aptos"/>
    </x:font>
    <x:font>
      <x:b/>
      <x:sz val="15"/>
      <x:color rgb="FF047857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2554"/>
      </x:patternFill>
    </x:fill>
    <x:fill>
      <x:patternFill patternType="solid">
        <x:fgColor rgb="FFDBEAFE"/>
      </x:patternFill>
    </x:fill>
    <x:fill>
      <x:patternFill patternType="solid">
        <x:fgColor rgb="FF334155"/>
      </x:patternFill>
    </x:fill>
    <x:fill>
      <x:patternFill patternType="solid">
        <x:fgColor rgb="FFF1F5F9"/>
      </x:patternFill>
    </x:fill>
    <x:fill>
      <x:patternFill patternType="solid">
        <x:fgColor rgb="FF1D4ED8"/>
      </x:patternFill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ECFDF5"/>
      </x:patternFill>
    </x:fill>
  </x:fills>
  <x:borders count="8">
    <x:border/>
    <x:border>
      <x:left style="thin">
        <x:color rgb="FF94A3B8"/>
      </x:left>
      <x:top style="thin">
        <x:color rgb="FF94A3B8"/>
      </x:top>
      <x:bottom style="thin">
        <x:color rgb="FF94A3B8"/>
      </x:bottom>
    </x:border>
    <x:border>
      <x:top style="thin">
        <x:color rgb="FF94A3B8"/>
      </x:top>
      <x:bottom style="thin">
        <x:color rgb="FF94A3B8"/>
      </x:bottom>
    </x:border>
    <x:border>
      <x:right style="thin">
        <x:color rgb="FF94A3B8"/>
      </x:right>
      <x:top style="thin">
        <x:color rgb="FF94A3B8"/>
      </x:top>
      <x:bottom style="thin">
        <x:color rgb="FF94A3B8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top style="thin">
        <x:color rgb="FFE2E8F0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2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201" fontId="4" fillId="5" borderId="2" xfId="0" applyNumberFormat="1" applyFont="1" applyFill="1" applyBorder="1"/>
    <x:xf numFmtId="200" fontId="4" fillId="5" borderId="3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2" xfId="0" applyNumberFormat="1" applyFont="1" applyFill="1" applyBorder="1" applyAlignment="1">
      <x:alignment horizontal="center"/>
    </x:xf>
    <x:xf numFmtId="201" fontId="4" fillId="5" borderId="2" xfId="0" applyNumberFormat="1" applyFont="1" applyFill="1" applyBorder="1" applyAlignment="1">
      <x:alignment horizontal="center"/>
    </x:xf>
    <x:xf numFmtId="200" fontId="4" fillId="5" borderId="3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0" fontId="5" fillId="0" borderId="5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horizontal="center" vertical="center" wrapText="1"/>
    </x:xf>
    <x:xf numFmtId="0" fontId="5" fillId="0" borderId="5" xfId="0" applyNumberFormat="1" applyFont="1" applyFill="1" applyBorder="1" applyAlignment="1">
      <x:alignment horizontal="center" vertical="center" wrapText="1"/>
    </x:xf>
    <x:xf numFmtId="0" fontId="5" fillId="0" borderId="6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7" xfId="0" applyNumberFormat="1" applyFont="1" applyFill="1" applyBorder="1" applyAlignment="1">
      <x:alignment horizontal="center"/>
    </x:xf>
    <x:xf numFmtId="0" fontId="0" fillId="9" borderId="4" xfId="0" applyNumberFormat="1" applyFont="1" applyFill="1" applyBorder="1" applyAlignment="1">
      <x:alignment vertical="center" wrapText="1"/>
    </x:xf>
    <x:xf numFmtId="0" fontId="5" fillId="9" borderId="4" xfId="0" applyNumberFormat="1" applyFont="1" applyFill="1" applyBorder="1" applyAlignment="1">
      <x:alignment horizontal="center" vertical="center" wrapText="1"/>
    </x:xf>
    <x:xf numFmtId="0" fontId="0" fillId="9" borderId="4" xfId="0" applyNumberFormat="1" applyFont="1" applyFill="1" applyBorder="1" applyAlignment="1">
      <x:alignment horizontal="center" vertical="center" wrapText="1"/>
    </x:xf>
    <x:xf numFmtId="0" fontId="7" fillId="9" borderId="4" xfId="0" applyNumberFormat="1" applyFont="1" applyFill="1" applyBorder="1" applyAlignment="1">
      <x:alignment horizontal="center" vertical="center" wrapText="1"/>
    </x:xf>
    <x:xf numFmtId="0" fontId="0" fillId="9" borderId="5" xfId="0" applyNumberFormat="1" applyFont="1" applyFill="1" applyBorder="1" applyAlignment="1">
      <x:alignment vertical="center" wrapText="1"/>
    </x:xf>
    <x:xf numFmtId="0" fontId="5" fillId="9" borderId="5" xfId="0" applyNumberFormat="1" applyFont="1" applyFill="1" applyBorder="1" applyAlignment="1">
      <x:alignment horizontal="center" vertical="center" wrapText="1"/>
    </x:xf>
    <x:xf numFmtId="0" fontId="0" fillId="9" borderId="5" xfId="0" applyNumberFormat="1" applyFont="1" applyFill="1" applyBorder="1" applyAlignment="1">
      <x:alignment horizontal="center" vertical="center" wrapText="1"/>
    </x:xf>
    <x:xf numFmtId="0" fontId="7" fillId="9" borderId="5" xfId="0" applyNumberFormat="1" applyFont="1" applyFill="1" applyBorder="1" applyAlignment="1">
      <x:alignment horizontal="center" vertical="center" wrapText="1"/>
    </x:xf>
    <x:xf numFmtId="0" fontId="0" fillId="9" borderId="6" xfId="0" applyNumberFormat="1" applyFont="1" applyFill="1" applyBorder="1" applyAlignment="1">
      <x:alignment vertical="center" wrapText="1"/>
    </x:xf>
    <x:xf numFmtId="0" fontId="5" fillId="9" borderId="6" xfId="0" applyNumberFormat="1" applyFont="1" applyFill="1" applyBorder="1" applyAlignment="1">
      <x:alignment horizontal="center" vertical="center" wrapText="1"/>
    </x:xf>
    <x:xf numFmtId="0" fontId="0" fillId="9" borderId="6" xfId="0" applyNumberFormat="1" applyFont="1" applyFill="1" applyBorder="1" applyAlignment="1">
      <x:alignment horizontal="center" vertical="center" wrapText="1"/>
    </x:xf>
    <x:xf numFmtId="0" fontId="7" fillId="9" borderId="6" xfId="0" applyNumberFormat="1" applyFont="1" applyFill="1" applyBorder="1" applyAlignment="1">
      <x:alignment horizontal="center" vertical="center" wrapText="1"/>
    </x:xf>
    <x:xf numFmtId="0" fontId="8" fillId="2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2" fillId="8" borderId="0" xfId="0" applyNumberFormat="1" applyFont="1" applyFill="1" applyBorder="1" applyAlignment="1">
      <x:alignment horizontal="center"/>
    </x:xf>
    <x:xf numFmtId="0" fontId="11" fillId="4" borderId="0" xfId="0" applyNumberFormat="1" applyFont="1" applyFill="1" applyBorder="1" applyAlignment="1">
      <x:alignment horizontal="center"/>
    </x:xf>
    <x:xf numFmtId="0" fontId="9" fillId="0" borderId="7" xfId="0" applyNumberFormat="1" applyFont="1" applyFill="1" applyBorder="1"/>
    <x:xf numFmtId="0" fontId="9" fillId="0" borderId="7" xfId="0" applyNumberFormat="1" applyFont="1" applyFill="1" applyBorder="1" applyAlignment="1">
      <x:alignment horizontal="center"/>
    </x:xf>
    <x:xf numFmtId="0" fontId="13" fillId="5" borderId="1" xfId="0" applyNumberFormat="1" applyFont="1" applyFill="1" applyBorder="1" applyAlignment="1">
      <x:alignment horizontal="center"/>
    </x:xf>
    <x:xf numFmtId="0" fontId="13" fillId="5" borderId="2" xfId="0" applyNumberFormat="1" applyFont="1" applyFill="1" applyBorder="1" applyAlignment="1">
      <x:alignment horizontal="center"/>
    </x:xf>
    <x:xf numFmtId="201" fontId="13" fillId="5" borderId="2" xfId="0" applyNumberFormat="1" applyFont="1" applyFill="1" applyBorder="1" applyAlignment="1">
      <x:alignment horizontal="center"/>
    </x:xf>
    <x:xf numFmtId="200" fontId="13" fillId="5" borderId="3" xfId="0" applyNumberFormat="1" applyFont="1" applyFill="1" applyBorder="1" applyAlignment="1">
      <x:alignment horizontal="center"/>
    </x:xf>
    <x:xf numFmtId="0" fontId="11" fillId="6" borderId="0" xfId="0" applyNumberFormat="1" applyFont="1" applyFill="1" applyBorder="1" applyAlignment="1">
      <x:alignment horizontal="center" vertical="center" wrapText="1"/>
    </x:xf>
    <x:xf numFmtId="0" fontId="9" fillId="9" borderId="4" xfId="0" applyNumberFormat="1" applyFont="1" applyFill="1" applyBorder="1" applyAlignment="1">
      <x:alignment vertical="center" wrapText="1"/>
    </x:xf>
    <x:xf numFmtId="0" fontId="14" fillId="9" borderId="4" xfId="0" applyNumberFormat="1" applyFont="1" applyFill="1" applyBorder="1" applyAlignment="1">
      <x:alignment horizontal="center" vertical="center" wrapText="1"/>
    </x:xf>
    <x:xf numFmtId="0" fontId="9" fillId="9" borderId="4" xfId="0" applyNumberFormat="1" applyFont="1" applyFill="1" applyBorder="1" applyAlignment="1">
      <x:alignment horizontal="center" vertical="center" wrapText="1"/>
    </x:xf>
    <x:xf numFmtId="0" fontId="9" fillId="9" borderId="5" xfId="0" applyNumberFormat="1" applyFont="1" applyFill="1" applyBorder="1" applyAlignment="1">
      <x:alignment vertical="center" wrapText="1"/>
    </x:xf>
    <x:xf numFmtId="0" fontId="14" fillId="9" borderId="5" xfId="0" applyNumberFormat="1" applyFont="1" applyFill="1" applyBorder="1" applyAlignment="1">
      <x:alignment horizontal="center" vertical="center" wrapText="1"/>
    </x:xf>
    <x:xf numFmtId="0" fontId="9" fillId="9" borderId="5" xfId="0" applyNumberFormat="1" applyFont="1" applyFill="1" applyBorder="1" applyAlignment="1">
      <x:alignment horizontal="center" vertical="center" wrapText="1"/>
    </x:xf>
    <x:xf numFmtId="0" fontId="9" fillId="9" borderId="6" xfId="0" applyNumberFormat="1" applyFont="1" applyFill="1" applyBorder="1" applyAlignment="1">
      <x:alignment vertical="center" wrapText="1"/>
    </x:xf>
    <x:xf numFmtId="0" fontId="14" fillId="9" borderId="6" xfId="0" applyNumberFormat="1" applyFont="1" applyFill="1" applyBorder="1" applyAlignment="1">
      <x:alignment horizontal="center" vertical="center" wrapText="1"/>
    </x:xf>
    <x:xf numFmtId="0" fontId="9" fillId="9" borderId="6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a0b9c041a645f6" /><Relationship Type="http://schemas.openxmlformats.org/officeDocument/2006/relationships/theme" Target="/xl/theme/theme1.xml" Id="Rce7e251098034b2d" /><Relationship Type="http://schemas.openxmlformats.org/officeDocument/2006/relationships/sharedStrings" Target="/xl/sharedStrings.xml" Id="Rfaf846befdde4502" /><Relationship Type="http://schemas.openxmlformats.org/officeDocument/2006/relationships/worksheet" Target="/xl/worksheets/sheet1.xml" Id="Rd489466755c645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6" hidden="0" customWidth="1"/>
    <x:col min="3" max="3" width="9" hidden="0" customWidth="1"/>
    <x:col min="4" max="4" width="18" hidden="0" customWidth="1"/>
    <x:col min="5" max="5" width="42" hidden="0" customWidth="1"/>
    <x:col min="6" max="6" width="22" hidden="0" customWidth="1"/>
    <x:col min="7" max="7" width="38" hidden="0" customWidth="1"/>
    <x:col min="8" max="8" width="3" hidden="0" customWidth="1"/>
    <x:col min="9" max="9" width="16" hidden="0" customWidth="1"/>
    <x:col min="10" max="10" width="12" hidden="0" customWidth="1"/>
    <x:col min="11" max="11" width="12" hidden="0" customWidth="1"/>
  </x:cols>
  <x:sheetData>
    <x:row r="1" ht="32" customHeight="1">
      <x:c r="A1" s="70" t="str">
        <x:v>ENDLESS ZOMBIE — COMBAT &amp; WEAPON ROADMAP</x:v>
      </x:c>
      <x:c r="B1" s="70"/>
      <x:c r="C1" s="70"/>
      <x:c r="D1" s="70"/>
      <x:c r="E1" s="70"/>
      <x:c r="F1" s="70"/>
      <x:c r="G1" s="70"/>
      <x:c r="H1" s="71"/>
      <x:c r="I1" s="71"/>
      <x:c r="J1" s="71"/>
      <x:c r="K1" s="71"/>
    </x:row>
    <x:row r="2" ht="24" customHeight="1">
      <x:c r="A2" s="72" t="str">
        <x:v>Theo System Design Document — cập nhật trạng thái sau Phase 1 vertical slice</x:v>
      </x:c>
      <x:c r="B2" s="72"/>
      <x:c r="C2" s="72"/>
      <x:c r="D2" s="72"/>
      <x:c r="E2" s="72"/>
      <x:c r="F2" s="72"/>
      <x:c r="G2" s="72"/>
      <x:c r="H2" s="71"/>
      <x:c r="I2" s="73" t="str">
        <x:v>TIẾN ĐỘ THEO NHÓM</x:v>
      </x:c>
      <x:c r="J2" s="73"/>
      <x:c r="K2" s="73"/>
    </x:row>
    <x:row r="3">
      <x:c r="A3" s="71"/>
      <x:c r="B3" s="71"/>
      <x:c r="C3" s="71"/>
      <x:c r="D3" s="71"/>
      <x:c r="E3" s="71"/>
      <x:c r="F3" s="71"/>
      <x:c r="G3" s="71"/>
      <x:c r="H3" s="71"/>
      <x:c r="I3" s="74" t="str">
        <x:v>Nhóm</x:v>
      </x:c>
      <x:c r="J3" s="74" t="str">
        <x:v>Đã xong</x:v>
      </x:c>
      <x:c r="K3" s="74" t="str">
        <x:v>Tổng</x:v>
      </x:c>
    </x:row>
    <x:row r="4">
      <x:c r="A4" s="75" t="str">
        <x:v>Tổng hạng mục</x:v>
      </x:c>
      <x:c r="B4" s="75" t="str">
        <x:v>Đã hoàn thành</x:v>
      </x:c>
      <x:c r="C4" s="75" t="str">
        <x:v>Tiến độ</x:v>
      </x:c>
      <x:c r="D4" s="75" t="str">
        <x:v>Cập nhật</x:v>
      </x:c>
      <x:c r="E4" s="71"/>
      <x:c r="F4" s="71"/>
      <x:c r="G4" s="71"/>
      <x:c r="H4" s="71"/>
      <x:c r="I4" s="76" t="str">
        <x:v>Phase 1</x:v>
      </x:c>
      <x:c r="J4" s="77" t="n">
        <x:f>COUNTIFS($A$8:$A$40,I4,$C$8:$C$40,"☑")</x:f>
        <x:v>12</x:v>
      </x:c>
      <x:c r="K4" s="77" t="n">
        <x:f>COUNTIF($A$8:$A$40,I4)</x:f>
        <x:v>12</x:v>
      </x:c>
    </x:row>
    <x:row r="5">
      <x:c r="A5" s="78" t="n">
        <x:f>COUNTA(B8:B40)</x:f>
        <x:v>33</x:v>
      </x:c>
      <x:c r="B5" s="79" t="n">
        <x:f>COUNTIF(C8:C40,"☑")</x:f>
        <x:v>33</x:v>
      </x:c>
      <x:c r="C5" s="80" t="n">
        <x:f>B5/A5</x:f>
        <x:v>1</x:v>
      </x:c>
      <x:c r="D5" s="81" t="n">
        <x:v>46239</x:v>
      </x:c>
      <x:c r="E5" s="71"/>
      <x:c r="F5" s="71"/>
      <x:c r="G5" s="71"/>
      <x:c r="H5" s="71"/>
      <x:c r="I5" s="76" t="str">
        <x:v>Economy</x:v>
      </x:c>
      <x:c r="J5" s="77" t="n">
        <x:f>COUNTIFS($A$8:$A$40,I5,$C$8:$C$40,"☑")</x:f>
        <x:v>6</x:v>
      </x:c>
      <x:c r="K5" s="77" t="n">
        <x:f>COUNTIF($A$8:$A$40,I5)</x:f>
        <x:v>6</x:v>
      </x:c>
    </x:row>
    <x:row r="6">
      <x:c r="A6" s="71"/>
      <x:c r="B6" s="71"/>
      <x:c r="C6" s="71"/>
      <x:c r="D6" s="71"/>
      <x:c r="E6" s="71"/>
      <x:c r="F6" s="71"/>
      <x:c r="G6" s="71"/>
      <x:c r="H6" s="71"/>
      <x:c r="I6" s="76" t="str">
        <x:v>Phase 2</x:v>
      </x:c>
      <x:c r="J6" s="77" t="n">
        <x:f>COUNTIFS($A$8:$A$40,I6,$C$8:$C$40,"☑")</x:f>
        <x:v>7</x:v>
      </x:c>
      <x:c r="K6" s="77" t="n">
        <x:f>COUNTIF($A$8:$A$40,I6)</x:f>
        <x:v>7</x:v>
      </x:c>
    </x:row>
    <x:row r="7" ht="34" customHeight="1">
      <x:c r="A7" s="82" t="str">
        <x:v>Phase</x:v>
      </x:c>
      <x:c r="B7" s="82" t="str">
        <x:v>Hạng mục roadmap</x:v>
      </x:c>
      <x:c r="C7" s="82" t="str">
        <x:v>Check</x:v>
      </x:c>
      <x:c r="D7" s="82" t="str">
        <x:v>Trạng thái</x:v>
      </x:c>
      <x:c r="E7" s="82" t="str">
        <x:v>Hiện trạng triển khai</x:v>
      </x:c>
      <x:c r="F7" s="82" t="str">
        <x:v>Nguồn thiết kế</x:v>
      </x:c>
      <x:c r="G7" s="82" t="str">
        <x:v>Bước tiếp theo</x:v>
      </x:c>
      <x:c r="H7" s="71"/>
      <x:c r="I7" s="76" t="str">
        <x:v>Phase 3</x:v>
      </x:c>
      <x:c r="J7" s="77" t="n">
        <x:f>COUNTIFS($A$8:$A$40,I7,$C$8:$C$40,"☑")</x:f>
        <x:v>6</x:v>
      </x:c>
      <x:c r="K7" s="77" t="n">
        <x:f>COUNTIF($A$8:$A$40,I7)</x:f>
        <x:v>6</x:v>
      </x:c>
    </x:row>
    <x:row r="8" ht="42" customHeight="1">
      <x:c r="A8" s="83" t="str">
        <x:v>Phase 1</x:v>
      </x:c>
      <x:c r="B8" s="83" t="str">
        <x:v>Player đứng cố định ở trung tâm</x:v>
      </x:c>
      <x:c r="C8" s="84" t="str">
        <x:v>☑</x:v>
      </x:c>
      <x:c r="D8" s="85" t="str">
        <x:v>Hoàn thành</x:v>
      </x:c>
      <x:c r="E8" s="83" t="str">
        <x:v>CharacterLogic đã khóa input di chuyển</x:v>
      </x:c>
      <x:c r="F8" s="83" t="str">
        <x:v>MVP Phase 1</x:v>
      </x:c>
      <x:c r="G8" s="83" t="str">
        <x:v>Kiểm tra vị trí spawn trong Play Mode</x:v>
      </x:c>
      <x:c r="H8" s="71"/>
      <x:c r="I8" s="76" t="str">
        <x:v>Quality</x:v>
      </x:c>
      <x:c r="J8" s="77" t="n">
        <x:f>COUNTIFS($A$8:$A$40,I8,$C$8:$C$40,"☑")</x:f>
        <x:v>2</x:v>
      </x:c>
      <x:c r="K8" s="77" t="n">
        <x:f>COUNTIF($A$8:$A$40,I8)</x:f>
        <x:v>2</x:v>
      </x:c>
    </x:row>
    <x:row r="9" ht="42" customHeight="1">
      <x:c r="A9" s="86" t="str">
        <x:v>Phase 1</x:v>
      </x:c>
      <x:c r="B9" s="86" t="str">
        <x:v>Một Gun với bộ chỉ số runtime</x:v>
      </x:c>
      <x:c r="C9" s="87" t="str">
        <x:v>☑</x:v>
      </x:c>
      <x:c r="D9" s="88" t="str">
        <x:v>Hoàn thành</x:v>
      </x:c>
      <x:c r="E9" s="86" t="str">
        <x:v>Đã có Base Stats, Modifiers và Current Stats</x:v>
      </x:c>
      <x:c r="F9" s="86" t="str">
        <x:v>Gun Stats</x:v>
      </x:c>
      <x:c r="G9" s="86" t="str">
        <x:v>Tách thành GunConfig ScriptableObject ở sprint sau</x:v>
      </x:c>
      <x:c r="H9" s="71"/>
      <x:c r="I9" s="71"/>
      <x:c r="J9" s="71"/>
      <x:c r="K9" s="71"/>
    </x:row>
    <x:row r="10" ht="42" customHeight="1">
      <x:c r="A10" s="86" t="str">
        <x:v>Phase 1</x:v>
      </x:c>
      <x:c r="B10" s="86" t="str">
        <x:v>Auto-target zombie gần nhất trong range</x:v>
      </x:c>
      <x:c r="C10" s="87" t="str">
        <x:v>☑</x:v>
      </x:c>
      <x:c r="D10" s="88" t="str">
        <x:v>Hoàn thành</x:v>
      </x:c>
      <x:c r="E10" s="86" t="str">
        <x:v>PlayerAutoAttackSystem chọn mục tiêu gần nhất</x:v>
      </x:c>
      <x:c r="F10" s="86" t="str">
        <x:v>Target Selection</x:v>
      </x:c>
      <x:c r="G10" s="86" t="str">
        <x:v>Tối ưu spatial query khi mật độ zombie cao</x:v>
      </x:c>
      <x:c r="H10" s="71"/>
      <x:c r="I10" s="71"/>
      <x:c r="J10" s="71"/>
      <x:c r="K10" s="71"/>
    </x:row>
    <x:row r="11" ht="42" customHeight="1">
      <x:c r="A11" s="86" t="str">
        <x:v>Phase 1</x:v>
      </x:c>
      <x:c r="B11" s="86" t="str">
        <x:v>Auto-fire theo fire interval</x:v>
      </x:c>
      <x:c r="C11" s="87" t="str">
        <x:v>☑</x:v>
      </x:c>
      <x:c r="D11" s="88" t="str">
        <x:v>Hoàn thành</x:v>
      </x:c>
      <x:c r="E11" s="86" t="str">
        <x:v>Cooldown tính từ Shots Per Second</x:v>
      </x:c>
      <x:c r="F11" s="86" t="str">
        <x:v>Gun Attack Flow</x:v>
      </x:c>
      <x:c r="G11" s="86" t="str">
        <x:v>Tinh chỉnh nhịp bắn</x:v>
      </x:c>
      <x:c r="H11" s="71"/>
      <x:c r="I11" s="71"/>
      <x:c r="J11" s="71"/>
      <x:c r="K11" s="71"/>
    </x:row>
    <x:row r="12" ht="42" customHeight="1">
      <x:c r="A12" s="86" t="str">
        <x:v>Phase 1</x:v>
      </x:c>
      <x:c r="B12" s="86" t="str">
        <x:v>Projectile bay thẳng theo hướng snapshot</x:v>
      </x:c>
      <x:c r="C12" s="87" t="str">
        <x:v>☑</x:v>
      </x:c>
      <x:c r="D12" s="88" t="str">
        <x:v>Hoàn thành</x:v>
      </x:c>
      <x:c r="E12" s="86" t="str">
        <x:v>Không còn homing theo Entity Target</x:v>
      </x:c>
      <x:c r="F12" s="86" t="str">
        <x:v>Projectile Spawn</x:v>
      </x:c>
      <x:c r="G12" s="86" t="str">
        <x:v>Thay model kiếm bằng bullet prefab</x:v>
      </x:c>
      <x:c r="H12" s="71"/>
      <x:c r="I12" s="71"/>
      <x:c r="J12" s="71"/>
      <x:c r="K12" s="71"/>
    </x:row>
    <x:row r="13" ht="42" customHeight="1">
      <x:c r="A13" s="86" t="str">
        <x:v>Phase 1</x:v>
      </x:c>
      <x:c r="B13" s="86" t="str">
        <x:v>Projectile tự hủy khi hết range</x:v>
      </x:c>
      <x:c r="C13" s="87" t="str">
        <x:v>☑</x:v>
      </x:c>
      <x:c r="D13" s="88" t="str">
        <x:v>Hoàn thành</x:v>
      </x:c>
      <x:c r="E13" s="86" t="str">
        <x:v>Có RemainingRange</x:v>
      </x:c>
      <x:c r="F13" s="86" t="str">
        <x:v>Projectile Layer</x:v>
      </x:c>
      <x:c r="G13" s="86" t="str">
        <x:v>Play Mode test ở tốc độ cao</x:v>
      </x:c>
      <x:c r="H13" s="71"/>
      <x:c r="I13" s="71"/>
      <x:c r="J13" s="71"/>
      <x:c r="K13" s="71"/>
    </x:row>
    <x:row r="14" ht="42" customHeight="1">
      <x:c r="A14" s="86" t="str">
        <x:v>Phase 1</x:v>
      </x:c>
      <x:c r="B14" s="86" t="str">
        <x:v>Damage snapshot khi projectile spawn</x:v>
      </x:c>
      <x:c r="C14" s="87" t="str">
        <x:v>☑</x:v>
      </x:c>
      <x:c r="D14" s="88" t="str">
        <x:v>Hoàn thành</x:v>
      </x:c>
      <x:c r="E14" s="86" t="str">
        <x:v>Damage được lưu trên từng projectile</x:v>
      </x:c>
      <x:c r="F14" s="86" t="str">
        <x:v>Damage Formula</x:v>
      </x:c>
      <x:c r="G14" s="86" t="str">
        <x:v>Bổ sung damage multiplier theo weapon archetype</x:v>
      </x:c>
      <x:c r="H14" s="71"/>
      <x:c r="I14" s="71"/>
      <x:c r="J14" s="71"/>
      <x:c r="K14" s="71"/>
    </x:row>
    <x:row r="15" ht="42" customHeight="1">
      <x:c r="A15" s="86" t="str">
        <x:v>Phase 1</x:v>
      </x:c>
      <x:c r="B15" s="86" t="str">
        <x:v>Critical hit snapshot một lần khi bắn</x:v>
      </x:c>
      <x:c r="C15" s="87" t="str">
        <x:v>☑</x:v>
      </x:c>
      <x:c r="D15" s="88" t="str">
        <x:v>Hoàn thành</x:v>
      </x:c>
      <x:c r="E15" s="86" t="str">
        <x:v>Có CriticalChance, CriticalDamage và IsCritical</x:v>
      </x:c>
      <x:c r="F15" s="86" t="str">
        <x:v>Critical Hit</x:v>
      </x:c>
      <x:c r="G15" s="86" t="str">
        <x:v>Thêm VFX/màu damage critical</x:v>
      </x:c>
      <x:c r="H15" s="71"/>
      <x:c r="I15" s="71"/>
      <x:c r="J15" s="71"/>
      <x:c r="K15" s="71"/>
    </x:row>
    <x:row r="16" ht="42" customHeight="1">
      <x:c r="A16" s="86" t="str">
        <x:v>Phase 1</x:v>
      </x:c>
      <x:c r="B16" s="86" t="str">
        <x:v>Knockback và resistance</x:v>
      </x:c>
      <x:c r="C16" s="87" t="str">
        <x:v>☑</x:v>
      </x:c>
      <x:c r="D16" s="88" t="str">
        <x:v>Hoàn thành</x:v>
      </x:c>
      <x:c r="E16" s="86" t="str">
        <x:v>Mob nhận knockback và clamp trong combat radius</x:v>
      </x:c>
      <x:c r="F16" s="86" t="str">
        <x:v>Knockback</x:v>
      </x:c>
      <x:c r="G16" s="86" t="str">
        <x:v>Cân bằng Elite/Boss resistance</x:v>
      </x:c>
      <x:c r="H16" s="71"/>
      <x:c r="I16" s="71"/>
      <x:c r="J16" s="71"/>
      <x:c r="K16" s="71"/>
    </x:row>
    <x:row r="17" ht="42" customHeight="1">
      <x:c r="A17" s="86" t="str">
        <x:v>Phase 1</x:v>
      </x:c>
      <x:c r="B17" s="86" t="str">
        <x:v>Zombie tiến về Player</x:v>
      </x:c>
      <x:c r="C17" s="87" t="str">
        <x:v>☑</x:v>
      </x:c>
      <x:c r="D17" s="88" t="str">
        <x:v>Hoàn thành</x:v>
      </x:c>
      <x:c r="E17" s="86" t="str">
        <x:v>Tái sử dụng ChaseTarget và UnitMover</x:v>
      </x:c>
      <x:c r="F17" s="86" t="str">
        <x:v>Enemy Movement</x:v>
      </x:c>
      <x:c r="G17" s="86" t="str">
        <x:v>Kiểm tra crowd congestion</x:v>
      </x:c>
      <x:c r="H17" s="71"/>
      <x:c r="I17" s="71"/>
      <x:c r="J17" s="71"/>
      <x:c r="K17" s="71"/>
    </x:row>
    <x:row r="18" ht="42" customHeight="1">
      <x:c r="A18" s="86" t="str">
        <x:v>Phase 1</x:v>
      </x:c>
      <x:c r="B18" s="86" t="str">
        <x:v>Zombie dừng và đánh theo cooldown</x:v>
      </x:c>
      <x:c r="C18" s="87" t="str">
        <x:v>☑</x:v>
      </x:c>
      <x:c r="D18" s="88" t="str">
        <x:v>Hoàn thành</x:v>
      </x:c>
      <x:c r="E18" s="86" t="str">
        <x:v>Không còn tự hủy sau khi chạm Player</x:v>
      </x:c>
      <x:c r="F18" s="86" t="str">
        <x:v>Enemy Attack</x:v>
      </x:c>
      <x:c r="G18" s="86" t="str">
        <x:v>Thêm animation attack</x:v>
      </x:c>
      <x:c r="H18" s="71"/>
      <x:c r="I18" s="71"/>
      <x:c r="J18" s="71"/>
      <x:c r="K18" s="71"/>
    </x:row>
    <x:row r="19" ht="42" customHeight="1">
      <x:c r="A19" s="86" t="str">
        <x:v>Phase 1</x:v>
      </x:c>
      <x:c r="B19" s="86" t="str">
        <x:v>Wave scaling HP và Damage</x:v>
      </x:c>
      <x:c r="C19" s="87" t="str">
        <x:v>☑</x:v>
      </x:c>
      <x:c r="D19" s="88" t="str">
        <x:v>Hoàn thành</x:v>
      </x:c>
      <x:c r="E19" s="86" t="str">
        <x:v>Wave 60 giây; HP x1.08; Damage x1.05</x:v>
      </x:c>
      <x:c r="F19" s="86" t="str">
        <x:v>Enemy Scaling</x:v>
      </x:c>
      <x:c r="G19" s="86" t="str">
        <x:v>Chuyển hệ số sang config asset</x:v>
      </x:c>
      <x:c r="H19" s="71"/>
      <x:c r="I19" s="71"/>
      <x:c r="J19" s="71"/>
      <x:c r="K19" s="71"/>
    </x:row>
    <x:row r="20" ht="42" customHeight="1">
      <x:c r="A20" s="86" t="str">
        <x:v>Economy</x:v>
      </x:c>
      <x:c r="B20" s="86" t="str">
        <x:v>Zombie chết rơi vàng</x:v>
      </x:c>
      <x:c r="C20" s="87" t="str">
        <x:v>☑</x:v>
      </x:c>
      <x:c r="D20" s="88" t="str">
        <x:v>Hoàn thành</x:v>
      </x:c>
      <x:c r="E20" s="86" t="str">
        <x:v>Prefab XPCoin đang được tái sử dụng làm Gold pickup</x:v>
      </x:c>
      <x:c r="F20" s="86" t="str">
        <x:v>Gold Loop</x:v>
      </x:c>
      <x:c r="G20" s="86" t="str">
        <x:v>Đổi tên asset/code XP thành Gold</x:v>
      </x:c>
      <x:c r="H20" s="71"/>
      <x:c r="I20" s="71"/>
      <x:c r="J20" s="71"/>
      <x:c r="K20" s="71"/>
    </x:row>
    <x:row r="21" ht="42" customHeight="1">
      <x:c r="A21" s="86" t="str">
        <x:v>Economy</x:v>
      </x:c>
      <x:c r="B21" s="86" t="str">
        <x:v>Ví vàng runtime</x:v>
      </x:c>
      <x:c r="C21" s="87" t="str">
        <x:v>☑</x:v>
      </x:c>
      <x:c r="D21" s="88" t="str">
        <x:v>Hoàn thành</x:v>
      </x:c>
      <x:c r="E21" s="86" t="str">
        <x:v>GoldWallet hỗ trợ Add và TrySpend</x:v>
      </x:c>
      <x:c r="F21" s="86" t="str">
        <x:v>Gold Loop</x:v>
      </x:c>
      <x:c r="G21" s="86" t="str">
        <x:v>Thêm lưu/khôi phục nếu cần</x:v>
      </x:c>
      <x:c r="H21" s="71"/>
      <x:c r="I21" s="71"/>
      <x:c r="J21" s="71"/>
      <x:c r="K21" s="71"/>
    </x:row>
    <x:row r="22" ht="42" customHeight="1">
      <x:c r="A22" s="86" t="str">
        <x:v>Economy</x:v>
      </x:c>
      <x:c r="B22" s="86" t="str">
        <x:v>Mở menu nâng cấp khi đủ vàng</x:v>
      </x:c>
      <x:c r="C22" s="87" t="str">
        <x:v>☑</x:v>
      </x:c>
      <x:c r="D22" s="88" t="str">
        <x:v>Hoàn thành</x:v>
      </x:c>
      <x:c r="E22" s="86" t="str">
        <x:v>Shop cơ bản mở theo ngưỡng vàng</x:v>
      </x:c>
      <x:c r="F22" s="86" t="str">
        <x:v>Upgrade Loop</x:v>
      </x:c>
      <x:c r="G22" s="86" t="str">
        <x:v>Tách shop khỏi LevelUp state cũ</x:v>
      </x:c>
      <x:c r="H22" s="71"/>
      <x:c r="I22" s="71"/>
      <x:c r="J22" s="71"/>
      <x:c r="K22" s="71"/>
    </x:row>
    <x:row r="23" ht="42" customHeight="1">
      <x:c r="A23" s="86" t="str">
        <x:v>Economy</x:v>
      </x:c>
      <x:c r="B23" s="86" t="str">
        <x:v>Upgrade dùng modifier cộng dồn</x:v>
      </x:c>
      <x:c r="C23" s="87" t="str">
        <x:v>☑</x:v>
      </x:c>
      <x:c r="D23" s="88" t="str">
        <x:v>Hoàn thành</x:v>
      </x:c>
      <x:c r="E23" s="86" t="str">
        <x:v>Damage, fire rate, range và projectile speed dùng GunModifiers</x:v>
      </x:c>
      <x:c r="F23" s="86" t="str">
        <x:v>Stacking Rule</x:v>
      </x:c>
      <x:c r="G23" s="86" t="str">
        <x:v>Thêm preview trước/sau</x:v>
      </x:c>
      <x:c r="H23" s="71"/>
      <x:c r="I23" s="71"/>
      <x:c r="J23" s="71"/>
      <x:c r="K23" s="71"/>
    </x:row>
    <x:row r="24" ht="42" customHeight="1">
      <x:c r="A24" s="86" t="str">
        <x:v>Economy</x:v>
      </x:c>
      <x:c r="B24" s="86" t="str">
        <x:v>UI hiển thị số vàng</x:v>
      </x:c>
      <x:c r="C24" s="87" t="str">
        <x:v>☑</x:v>
      </x:c>
      <x:c r="D24" s="88" t="str">
        <x:v>Hoàn thành</x:v>
      </x:c>
      <x:c r="E24" s="86" t="str">
        <x:v>GoldCounter được tạo tự động trên HUD và cập nhật theo GoldWallet</x:v>
      </x:c>
      <x:c r="F24" s="86" t="str">
        <x:v>Upgrade Loop</x:v>
      </x:c>
      <x:c r="G24" s="86" t="str">
        <x:v>Kiểm tra vị trí và độ tương phản trong Play Mode</x:v>
      </x:c>
      <x:c r="H24" s="71"/>
      <x:c r="I24" s="71"/>
      <x:c r="J24" s="71"/>
      <x:c r="K24" s="71"/>
    </x:row>
    <x:row r="25" ht="42" customHeight="1">
      <x:c r="A25" s="86" t="str">
        <x:v>Economy</x:v>
      </x:c>
      <x:c r="B25" s="86" t="str">
        <x:v>Giá riêng và cost curve cho từng upgrade</x:v>
      </x:c>
      <x:c r="C25" s="87" t="str">
        <x:v>☑</x:v>
      </x:c>
      <x:c r="D25" s="88" t="str">
        <x:v>Hoàn thành</x:v>
      </x:c>
      <x:c r="E25" s="86" t="str">
        <x:v>Mỗi upgrade có BaseCost, CostGrowth và level độc lập</x:v>
      </x:c>
      <x:c r="F25" s="86" t="str">
        <x:v>Upgrade Pool</x:v>
      </x:c>
      <x:c r="G25" s="86" t="str">
        <x:v>Cân bằng giá sau Play Mode test</x:v>
      </x:c>
      <x:c r="H25" s="71"/>
      <x:c r="I25" s="71"/>
      <x:c r="J25" s="71"/>
      <x:c r="K25" s="71"/>
    </x:row>
    <x:row r="26" ht="42" customHeight="1">
      <x:c r="A26" s="86" t="str">
        <x:v>Phase 2</x:v>
      </x:c>
      <x:c r="B26" s="86" t="str">
        <x:v>Nhiều projectile mỗi lần bắn</x:v>
      </x:c>
      <x:c r="C26" s="87" t="str">
        <x:v>☑</x:v>
      </x:c>
      <x:c r="D26" s="88" t="str">
        <x:v>Hoàn thành logic</x:v>
      </x:c>
      <x:c r="E26" s="86" t="str">
        <x:v>ProjectileCount và spread đã hoạt động</x:v>
      </x:c>
      <x:c r="F26" s="86" t="str">
        <x:v>Build Variety</x:v>
      </x:c>
      <x:c r="G26" s="86" t="str">
        <x:v>Thêm upgrade Additional Projectile</x:v>
      </x:c>
      <x:c r="H26" s="71"/>
      <x:c r="I26" s="71"/>
      <x:c r="J26" s="71"/>
      <x:c r="K26" s="71"/>
    </x:row>
    <x:row r="27" ht="42" customHeight="1">
      <x:c r="A27" s="86" t="str">
        <x:v>Phase 2</x:v>
      </x:c>
      <x:c r="B27" s="86" t="str">
        <x:v>Spread theo góc</x:v>
      </x:c>
      <x:c r="C27" s="87" t="str">
        <x:v>☑</x:v>
      </x:c>
      <x:c r="D27" s="88" t="str">
        <x:v>Hoàn thành logic</x:v>
      </x:c>
      <x:c r="E27" s="86" t="str">
        <x:v>Phân bố đều quanh hướng target</x:v>
      </x:c>
      <x:c r="F27" s="86" t="str">
        <x:v>Build Variety</x:v>
      </x:c>
      <x:c r="G27" s="86" t="str">
        <x:v>Thêm config riêng theo loại súng</x:v>
      </x:c>
      <x:c r="H27" s="71"/>
      <x:c r="I27" s="71"/>
      <x:c r="J27" s="71"/>
      <x:c r="K27" s="71"/>
    </x:row>
    <x:row r="28" ht="42" customHeight="1">
      <x:c r="A28" s="86" t="str">
        <x:v>Phase 2</x:v>
      </x:c>
      <x:c r="B28" s="86" t="str">
        <x:v>Pierce và Hit List</x:v>
      </x:c>
      <x:c r="C28" s="87" t="str">
        <x:v>☑</x:v>
      </x:c>
      <x:c r="D28" s="88" t="str">
        <x:v>Hoàn thành logic</x:v>
      </x:c>
      <x:c r="E28" s="86" t="str">
        <x:v>Projectile không đánh lại cùng zombie</x:v>
      </x:c>
      <x:c r="F28" s="86" t="str">
        <x:v>Projectile Hit Flow</x:v>
      </x:c>
      <x:c r="G28" s="86" t="str">
        <x:v>Thêm upgrade Pierce</x:v>
      </x:c>
      <x:c r="H28" s="71"/>
      <x:c r="I28" s="71"/>
      <x:c r="J28" s="71"/>
      <x:c r="K28" s="71"/>
    </x:row>
    <x:row r="29" ht="42" customHeight="1">
      <x:c r="A29" s="86" t="str">
        <x:v>Phase 2</x:v>
      </x:c>
      <x:c r="B29" s="86" t="str">
        <x:v>Magazine và Reload</x:v>
      </x:c>
      <x:c r="C29" s="87" t="str">
        <x:v>☑</x:v>
      </x:c>
      <x:c r="D29" s="88" t="str">
        <x:v>Hoàn thành logic</x:v>
      </x:c>
      <x:c r="E29" s="86" t="str">
        <x:v>Auto-fire trừ đạn và tự reload; Pistol 12/1.2s, Shotgun 6/1.8s, AR 30/1.6s</x:v>
      </x:c>
      <x:c r="F29" s="86" t="str">
        <x:v>Build Variety</x:v>
      </x:c>
      <x:c r="G29" s="86" t="str">
        <x:v>Thêm ammo/reload HUD và animation</x:v>
      </x:c>
      <x:c r="H29" s="71"/>
      <x:c r="I29" s="71"/>
      <x:c r="J29" s="71"/>
      <x:c r="K29" s="71"/>
    </x:row>
    <x:row r="30" ht="42" customHeight="1">
      <x:c r="A30" s="86" t="str">
        <x:v>Phase 2</x:v>
      </x:c>
      <x:c r="B30" s="86" t="str">
        <x:v>Nhiều loại Gun</x:v>
      </x:c>
      <x:c r="C30" s="87" t="str">
        <x:v>☑</x:v>
      </x:c>
      <x:c r="D30" s="88" t="str">
        <x:v>Hoàn thành logic</x:v>
      </x:c>
      <x:c r="E30" s="86" t="str">
        <x:v>Đã có GunConfig cho Pistol, Shotgun và Assault Rifle; scene mặc định Pistol</x:v>
      </x:c>
      <x:c r="F30" s="86" t="str">
        <x:v>Weapon Profiles</x:v>
      </x:c>
      <x:c r="G30" s="86" t="str">
        <x:v>Thêm UI/chọn súng trước trận</x:v>
      </x:c>
      <x:c r="H30" s="71"/>
      <x:c r="I30" s="71"/>
      <x:c r="J30" s="71"/>
      <x:c r="K30" s="71"/>
    </x:row>
    <x:row r="31" ht="42" customHeight="1">
      <x:c r="A31" s="86" t="str">
        <x:v>Phase 2</x:v>
      </x:c>
      <x:c r="B31" s="86" t="str">
        <x:v>Upgrade rarity</x:v>
      </x:c>
      <x:c r="C31" s="87" t="str">
        <x:v>☑</x:v>
      </x:c>
      <x:c r="D31" s="88" t="str">
        <x:v>Hoàn thành logic</x:v>
      </x:c>
      <x:c r="E31" s="86" t="str">
        <x:v>Upgrade có rarity, roll weight, cost multiplier và UI màu; shop quay weighted không trùng</x:v>
      </x:c>
      <x:c r="F31" s="86" t="str">
        <x:v>Build Variety</x:v>
      </x:c>
      <x:c r="G31" s="86" t="str">
        <x:v>Cân bằng tỷ lệ và thêm upgrade pool lớn hơn</x:v>
      </x:c>
      <x:c r="H31" s="71"/>
      <x:c r="I31" s="71"/>
      <x:c r="J31" s="71"/>
      <x:c r="K31" s="71"/>
    </x:row>
    <x:row r="32" ht="42" customHeight="1">
      <x:c r="A32" s="86" t="str">
        <x:v>Phase 2</x:v>
      </x:c>
      <x:c r="B32" s="86" t="str">
        <x:v>Elite Enemy</x:v>
      </x:c>
      <x:c r="C32" s="87" t="str">
        <x:v>☑</x:v>
      </x:c>
      <x:c r="D32" s="88" t="str">
        <x:v>Hoàn thành logic</x:v>
      </x:c>
      <x:c r="E32" s="86" t="str">
        <x:v>Elite spawn từ wave 2 với chance tăng dần; HP x4, damage x2, kháng 75%, scale x1.4 và vàng x5</x:v>
      </x:c>
      <x:c r="F32" s="86" t="str">
        <x:v>Build Variety</x:v>
      </x:c>
      <x:c r="G32" s="86" t="str">
        <x:v>Play Mode cân bằng chance và chỉ số Elite</x:v>
      </x:c>
      <x:c r="H32" s="71"/>
      <x:c r="I32" s="71"/>
      <x:c r="J32" s="71"/>
      <x:c r="K32" s="71"/>
    </x:row>
    <x:row r="33" ht="42" customHeight="1">
      <x:c r="A33" s="86" t="str">
        <x:v>Phase 3</x:v>
      </x:c>
      <x:c r="B33" s="86" t="str">
        <x:v>Explosive projectile</x:v>
      </x:c>
      <x:c r="C33" s="87" t="str">
        <x:v>☑</x:v>
      </x:c>
      <x:c r="D33" s="88" t="str">
        <x:v>Hoàn thành logic</x:v>
      </x:c>
      <x:c r="E33" s="86" t="str">
        <x:v>Rocket Launcher nổ khi va chạm, gây AoE damage và radial knockback; tái sử dụng explosion VFX</x:v>
      </x:c>
      <x:c r="F33" s="86" t="str">
        <x:v>Advanced Combat</x:v>
      </x:c>
      <x:c r="G33" s="86" t="str">
        <x:v>Play Mode cân bằng radius/damage và thay rocket model</x:v>
      </x:c>
      <x:c r="H33" s="71"/>
      <x:c r="I33" s="71"/>
      <x:c r="J33" s="71"/>
      <x:c r="K33" s="71"/>
    </x:row>
    <x:row r="34" ht="42" customHeight="1">
      <x:c r="A34" s="86" t="str">
        <x:v>Phase 3</x:v>
      </x:c>
      <x:c r="B34" s="86" t="str">
        <x:v>Ricochet</x:v>
      </x:c>
      <x:c r="C34" s="87" t="str">
        <x:v>☑</x:v>
      </x:c>
      <x:c r="D34" s="88" t="str">
        <x:v>Hoàn thành logic</x:v>
      </x:c>
      <x:c r="E34" s="86" t="str">
        <x:v>Projectile tìm zombie gần nhất chưa bị trúng, đổi hướng tại impact và giữ hit list; RicochetSMG nảy 2 lần</x:v>
      </x:c>
      <x:c r="F34" s="86" t="str">
        <x:v>Advanced Combat</x:v>
      </x:c>
      <x:c r="G34" s="86" t="str">
        <x:v>Thêm trail/VFX khi đổi hướng và Play Mode cân bằng range</x:v>
      </x:c>
      <x:c r="H34" s="71"/>
      <x:c r="I34" s="71"/>
      <x:c r="J34" s="71"/>
      <x:c r="K34" s="71"/>
    </x:row>
    <x:row r="35" ht="42" customHeight="1">
      <x:c r="A35" s="86" t="str">
        <x:v>Phase 3</x:v>
      </x:c>
      <x:c r="B35" s="86" t="str">
        <x:v>Chain Lightning</x:v>
      </x:c>
      <x:c r="C35" s="87" t="str">
        <x:v>☑</x:v>
      </x:c>
      <x:c r="D35" s="88" t="str">
        <x:v>Hoàn thành logic</x:v>
      </x:c>
      <x:c r="E35" s="86" t="str">
        <x:v>TeslaGun truyền tối đa 4 mục tiêu gần nhất chưa bị trúng; damage giảm 25% mỗi hop và có line VFX</x:v>
      </x:c>
      <x:c r="F35" s="86" t="str">
        <x:v>Advanced Combat</x:v>
      </x:c>
      <x:c r="G35" s="86" t="str">
        <x:v>Play Mode cân bằng chain range/falloff và hoàn thiện lightning material</x:v>
      </x:c>
      <x:c r="H35" s="71"/>
      <x:c r="I35" s="71"/>
      <x:c r="J35" s="71"/>
      <x:c r="K35" s="71"/>
    </x:row>
    <x:row r="36" ht="42" customHeight="1">
      <x:c r="A36" s="86" t="str">
        <x:v>Phase 3</x:v>
      </x:c>
      <x:c r="B36" s="86" t="str">
        <x:v>Elemental effects</x:v>
      </x:c>
      <x:c r="C36" s="87" t="str">
        <x:v>☑</x:v>
      </x:c>
      <x:c r="D36" s="88" t="str">
        <x:v>Hoàn thành logic</x:v>
      </x:c>
      <x:c r="E36" s="86" t="str">
        <x:v>Fire gây burn theo tick; Frost giảm move speed có duration và tự khôi phục; có FlameRifle/CryoGun configs</x:v>
      </x:c>
      <x:c r="F36" s="86" t="str">
        <x:v>Advanced Combat</x:v>
      </x:c>
      <x:c r="G36" s="86" t="str">
        <x:v>Thêm status VFX/icon và cân bằng proc chance/duration</x:v>
      </x:c>
      <x:c r="H36" s="71"/>
      <x:c r="I36" s="71"/>
      <x:c r="J36" s="71"/>
      <x:c r="K36" s="71"/>
    </x:row>
    <x:row r="37" ht="42" customHeight="1">
      <x:c r="A37" s="86" t="str">
        <x:v>Phase 3</x:v>
      </x:c>
      <x:c r="B37" s="86" t="str">
        <x:v>Gun và Skill synergy</x:v>
      </x:c>
      <x:c r="C37" s="87" t="str">
        <x:v>☑</x:v>
      </x:c>
      <x:c r="D37" s="88" t="str">
        <x:v>Hoàn thành logic</x:v>
      </x:c>
      <x:c r="E37" s="86" t="str">
        <x:v>Epic WeaponSynergy upgrade thích nghi theo gun: buff explosion, ricochet, chain hoặc elemental effect</x:v>
      </x:c>
      <x:c r="F37" s="86" t="str">
        <x:v>Advanced Combat</x:v>
      </x:c>
      <x:c r="G37" s="86" t="str">
        <x:v>Thêm mô tả preview riêng theo súng đang trang bị</x:v>
      </x:c>
      <x:c r="H37" s="71"/>
      <x:c r="I37" s="71"/>
      <x:c r="J37" s="71"/>
      <x:c r="K37" s="71"/>
    </x:row>
    <x:row r="38" ht="42" customHeight="1">
      <x:c r="A38" s="86" t="str">
        <x:v>Phase 3</x:v>
      </x:c>
      <x:c r="B38" s="86" t="str">
        <x:v>Boss phase và Crowd Control resistance</x:v>
      </x:c>
      <x:c r="C38" s="87" t="str">
        <x:v>☑</x:v>
      </x:c>
      <x:c r="D38" s="88" t="str">
        <x:v>Hoàn thành logic</x:v>
      </x:c>
      <x:c r="E38" s="86" t="str">
        <x:v>Boss spawn mỗi 5 wave, có 3 phase theo HP; kháng knockback 90%, CC 85%, phase sau tăng speed/damage</x:v>
      </x:c>
      <x:c r="F38" s="86" t="str">
        <x:v>Advanced Combat</x:v>
      </x:c>
      <x:c r="G38" s="86" t="str">
        <x:v>Thêm boss health bar, phase VFX và Play Mode cân bằng</x:v>
      </x:c>
      <x:c r="H38" s="71"/>
      <x:c r="I38" s="71"/>
      <x:c r="J38" s="71"/>
      <x:c r="K38" s="71"/>
    </x:row>
    <x:row r="39" ht="42" customHeight="1">
      <x:c r="A39" s="86" t="str">
        <x:v>Quality</x:v>
      </x:c>
      <x:c r="B39" s="86" t="str">
        <x:v>Combat metrics: DPS, TTK, pressure</x:v>
      </x:c>
      <x:c r="C39" s="87" t="str">
        <x:v>☑</x:v>
      </x:c>
      <x:c r="D39" s="88" t="str">
        <x:v>Hoàn thành logic</x:v>
      </x:c>
      <x:c r="E39" s="86" t="str">
        <x:v>Runtime HUD hiển thị DPS 1s, Avg TTK, active/near enemies, weighted pressure và kills</x:v>
      </x:c>
      <x:c r="F39" s="86" t="str">
        <x:v>Core Balance Metrics</x:v>
      </x:c>
      <x:c r="G39" s="86" t="str">
        <x:v>Play Mode ghi baseline cân bằng cho từng gun</x:v>
      </x:c>
      <x:c r="H39" s="71"/>
      <x:c r="I39" s="71"/>
      <x:c r="J39" s="71"/>
      <x:c r="K39" s="71"/>
    </x:row>
    <x:row r="40" ht="42" customHeight="1">
      <x:c r="A40" s="89" t="str">
        <x:v>Quality</x:v>
      </x:c>
      <x:c r="B40" s="89" t="str">
        <x:v>Play Mode runtime validation</x:v>
      </x:c>
      <x:c r="C40" s="90" t="str">
        <x:v>☑</x:v>
      </x:c>
      <x:c r="D40" s="91" t="str">
        <x:v>Hoàn thành</x:v>
      </x:c>
      <x:c r="E40" s="89" t="str">
        <x:v>GameScene chạy 35s không Error/Exception; xác nhận spawn, auto-fire, damage, kill, ammo/reload và metrics</x:v>
      </x:c>
      <x:c r="F40" s="89" t="str">
        <x:v>QA</x:v>
      </x:c>
      <x:c r="G40" s="89" t="str">
        <x:v>Tiếp tục manual playtest để cân bằng và hoàn thiện presentation</x:v>
      </x:c>
      <x:c r="H40" s="71"/>
      <x:c r="I40" s="71"/>
      <x:c r="J40" s="71"/>
      <x:c r="K40" s="71"/>
    </x:row>
  </x:sheetData>
  <x:mergeCells>
    <x:mergeCell ref="A1:G1"/>
    <x:mergeCell ref="A2:G2"/>
    <x:mergeCell ref="I2:K2"/>
  </x:mergeCells>
  <x:dataValidations count="2">
    <x:dataValidation type="list" sqref="C8:C40">
      <x:formula1>"☑,☐"</x:formula1>
    </x:dataValidation>
    <x:dataValidation type="list" sqref="D8:D40">
      <x:formula1>"Hoàn thành,Hoàn thành logic,Đang làm,Chờ kiểm tra,Chưa làm"</x:formula1>
    </x:dataValidation>
  </x:dataValidations>
  <x:pageMargins left="0.7" right="0.7" top="0.75" bottom="0.75" header="0.3" footer="0.3"/>
</x:worksheet>
</file>